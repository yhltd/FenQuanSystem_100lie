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<sst xmlns="http://schemas.openxmlformats.org/spreadsheetml/2006/main" count="1221" uniqueCount="228">
  <si>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</si>
  <si>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</si>
  <si>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</si>
  <si>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</si>
  <si>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</si>
  <si>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</si>
  <si>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</si>
  <si>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</si>
  <si>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</si>
  <si>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</si>
  <si>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</si>
  <si>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</si>
  <si>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</si>
  <si>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</si>
  <si>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</si>
  <si>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</si>
  <si>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</si>
  <si>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</si>
  <si>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</si>
  <si>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</si>
  <si>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</si>
  <si>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</si>
  <si>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</si>
  <si>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</si>
  <si>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</si>
  <si>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</si>
  <si>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</si>
  <si>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王五</t>
  </si>
  <si>
    <t>wangwu</t>
  </si>
  <si>
    <t>财务部</t>
  </si>
  <si>
    <t>202209081828118</t>
  </si>
  <si>
    <t>部门权限设置</t>
  </si>
  <si>
    <t>是</t>
  </si>
  <si>
    <t>工作台</t>
  </si>
  <si>
    <t>工作台权限设置</t>
  </si>
  <si>
    <t>公司数据分析</t>
  </si>
  <si>
    <t>人员权限设置</t>
  </si>
  <si>
    <t>人员数据分析</t>
  </si>
  <si>
    <t>工作台使用状态</t>
  </si>
  <si>
    <t>否</t>
  </si>
  <si>
    <t>工作台公式设置</t>
  </si>
  <si>
    <t>▌ 人员管理</t>
  </si>
  <si>
    <t>序号</t>
  </si>
  <si>
    <t>姓名</t>
  </si>
  <si>
    <t>账号</t>
  </si>
  <si>
    <t>密码</t>
  </si>
  <si>
    <t>部门</t>
  </si>
  <si>
    <t>账号状态</t>
  </si>
  <si>
    <t>邮箱</t>
  </si>
  <si>
    <t>手机号码</t>
  </si>
  <si>
    <t>员工编号</t>
  </si>
  <si>
    <t>管理员</t>
  </si>
  <si>
    <t>yhltd</t>
  </si>
  <si>
    <t>人事部</t>
  </si>
  <si>
    <t>正常</t>
  </si>
  <si>
    <t>457853@163.com</t>
  </si>
  <si>
    <t>20220420060442</t>
  </si>
  <si>
    <t>张三</t>
  </si>
  <si>
    <t>zhangsan</t>
  </si>
  <si>
    <t>锁死</t>
  </si>
  <si>
    <t>12123@163.com</t>
  </si>
  <si>
    <t>202209081707106</t>
  </si>
  <si>
    <t>李四</t>
  </si>
  <si>
    <t>lisi</t>
  </si>
  <si>
    <t>123@163.com</t>
  </si>
  <si>
    <t>202209081828117</t>
  </si>
  <si>
    <t>123123@163.com</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</si>
  <si>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</si>
  <si>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</si>
  <si>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</si>
  <si>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</si>
  <si>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</si>
  <si>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</si>
  <si>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</si>
  <si>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</si>
  <si>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</si>
  <si>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</si>
  <si>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</si>
  <si>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</si>
  <si>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</si>
  <si>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</si>
  <si>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</si>
  <si>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</si>
  <si>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</si>
  <si>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</si>
  <si>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</si>
  <si>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</si>
  <si>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</si>
  <si>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</si>
  <si>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</si>
  <si>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</si>
  <si>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</si>
  <si>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</si>
  <si>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</si>
  <si>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</si>
  <si>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</si>
  <si>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</si>
  <si>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</si>
  <si>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</si>
  <si>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</si>
  <si>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</si>
  <si>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</si>
  <si>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</si>
  <si>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</si>
  <si>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</si>
  <si>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</si>
  <si>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</si>
  <si>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</si>
  <si>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</si>
  <si>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</si>
  <si>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</si>
  <si>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</si>
  <si>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</si>
  <si>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</si>
  <si>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</si>
  <si>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</si>
  <si>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</si>
  <si>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</si>
  <si>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</si>
  <si>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</si>
  <si>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</si>
  <si>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</si>
  <si>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</si>
  <si>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</si>
  <si>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</si>
  <si>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</si>
  <si>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</si>
  <si>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</si>
  <si>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</si>
  <si>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</si>
  <si>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</si>
  <si>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</si>
  <si>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</si>
  <si>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</si>
  <si>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</si>
  <si>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</si>
  <si>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</si>
  <si>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</si>
  <si>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</si>
  <si>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</si>
  <si>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</si>
  <si>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</si>
  <si>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</si>
  <si>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</si>
  <si>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</si>
  <si>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</si>
  <si>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</si>
  <si>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</si>
  <si>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</si>
  <si>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</si>
  <si>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</si>
  <si>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</si>
  <si>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</si>
  <si>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</si>
  <si>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</si>
  <si>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</si>
  <si>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</si>
  <si>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</si>
  <si>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</si>
  <si>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</si>
  <si>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</si>
  <si>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</si>
  <si>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</si>
  <si>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</si>
  <si>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</si>
  <si>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</si>
  <si>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</si>
  <si>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</si>
  <si>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</si>
  <si>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</si>
  <si>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</si>
  <si>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</si>
  <si>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</si>
  <si>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</si>
  <si>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</si>
  <si>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</si>
  <si>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</si>
  <si>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</si>
  <si>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</si>
  <si>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</si>
  <si>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</si>
  <si>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</si>
  <si>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</si>
  <si>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</si>
  <si>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</si>
  <si>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B*C/D*B*1.25</t>
  </si>
  <si>
    <t>A*2</t>
  </si>
  <si>
    <t>▌ 工作台</t>
  </si>
  <si>
    <t>人员</t>
  </si>
  <si>
    <t>添加日期</t>
  </si>
  <si>
    <t>最后修改日期</t>
  </si>
  <si>
    <t>username</t>
  </si>
  <si>
    <t>qqqqqqqq</t>
  </si>
  <si>
    <t>qqq</t>
  </si>
  <si>
    <t>ae</t>
  </si>
  <si>
    <t>ddxw</t>
  </si>
  <si>
    <t>bbbb</t>
  </si>
  <si>
    <t>测试CV</t>
  </si>
  <si>
    <t>测试公司123</t>
  </si>
  <si>
    <t xml:space="preserve"> hehehh</t>
  </si>
  <si>
    <t>问题</t>
  </si>
  <si>
    <t>问题无</t>
  </si>
  <si>
    <t>dd</t>
  </si>
  <si>
    <t>222jk测试</t>
  </si>
  <si>
    <t>任务完成</t>
  </si>
  <si>
    <t>gg</t>
  </si>
  <si>
    <t>哈哈哈</t>
  </si>
  <si>
    <t>a</t>
  </si>
  <si>
    <t>22asd测试</t>
  </si>
  <si>
    <t>asd</t>
  </si>
  <si>
    <t>irir</t>
  </si>
  <si>
    <t>订单</t>
  </si>
  <si>
    <t>水电费</t>
  </si>
  <si>
    <t>665jjkuyyyyhityuiyt</t>
  </si>
  <si>
    <t>ggh</t>
  </si>
  <si>
    <t>测试数据1</t>
  </si>
  <si>
    <t>啊啊啊</t>
  </si>
  <si>
    <t>昨日任务已完成</t>
  </si>
  <si>
    <t>工作量8小时</t>
  </si>
  <si>
    <t>今日任务已完成</t>
  </si>
  <si>
    <t>ceshi</t>
  </si>
  <si>
    <t>e</t>
  </si>
  <si>
    <t>d</t>
  </si>
  <si>
    <t>fgh</t>
  </si>
  <si>
    <t>c</t>
  </si>
  <si>
    <t>『』</t>
  </si>
  <si>
    <t>??</t>
  </si>
  <si>
    <t>b</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</si>
</sst>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10" borderId="0" applyNumberFormat="0" applyBorder="0" applyAlignment="0" applyProtection="0">
      <alignment vertical="center"/>
    </xf>
    <xf numFmtId="0" fontId="20" fillId="11" borderId="1"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2" borderId="0" applyNumberFormat="0" applyBorder="0" applyAlignment="0" applyProtection="0">
      <alignment vertical="center"/>
    </xf>
    <xf numFmtId="0" fontId="21" fillId="13" borderId="0" applyNumberFormat="0" applyBorder="0" applyAlignment="0" applyProtection="0">
      <alignment vertical="center"/>
    </xf>
    <xf numFmtId="43" fontId="6" fillId="0" borderId="0" applyFont="0" applyFill="0" applyBorder="0" applyAlignment="0" applyProtection="0">
      <alignment vertical="center"/>
    </xf>
    <xf numFmtId="0" fontId="22" fillId="14"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5" borderId="2" applyNumberFormat="0" applyFont="0" applyAlignment="0" applyProtection="0">
      <alignment vertical="center"/>
    </xf>
    <xf numFmtId="0" fontId="22"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2" fillId="17" borderId="0" applyNumberFormat="0" applyBorder="0" applyAlignment="0" applyProtection="0">
      <alignment vertical="center"/>
    </xf>
    <xf numFmtId="0" fontId="25" fillId="0" borderId="4" applyNumberFormat="0" applyFill="0" applyAlignment="0" applyProtection="0">
      <alignment vertical="center"/>
    </xf>
    <xf numFmtId="0" fontId="22"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19" fillId="25" borderId="0" applyNumberFormat="0" applyBorder="0" applyAlignment="0" applyProtection="0">
      <alignment vertical="center"/>
    </xf>
    <xf numFmtId="0" fontId="22"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22" fillId="40" borderId="0" applyNumberFormat="0" applyBorder="0" applyAlignment="0" applyProtection="0">
      <alignment vertical="center"/>
    </xf>
  </cellStyleXfs>
  <cellXfs count="40">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49" fontId="0" fillId="0" borderId="0" xfId="0" applyNumberFormat="1">
      <alignment vertical="center"/>
    </xf>
    <xf numFmtId="0" fontId="5" fillId="4" borderId="0" xfId="0" applyFont="1" applyFill="1" applyAlignment="1" applyProtection="1">
      <alignment horizontal="left" vertical="center"/>
    </xf>
    <xf numFmtId="0" fontId="6" fillId="5" borderId="0" xfId="0" applyFont="1" applyFill="1" applyAlignment="1" applyProtection="1">
      <alignment vertical="center"/>
    </xf>
    <xf numFmtId="0" fontId="7" fillId="5" borderId="0" xfId="0" applyFont="1" applyFill="1" applyAlignment="1" applyProtection="1">
      <alignment horizontal="left" vertical="center"/>
    </xf>
    <xf numFmtId="0" fontId="7" fillId="6" borderId="0" xfId="0" applyFont="1" applyFill="1" applyAlignment="1" applyProtection="1">
      <alignment horizontal="left" vertical="center"/>
    </xf>
    <xf numFmtId="49" fontId="8" fillId="6" borderId="0" xfId="0" applyNumberFormat="1" applyFont="1" applyFill="1" applyAlignment="1" applyProtection="1">
      <alignment horizontal="right" vertical="center"/>
    </xf>
    <xf numFmtId="0" fontId="9"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0" fillId="4" borderId="0" xfId="0" applyNumberFormat="1" applyFont="1" applyFill="1" applyAlignment="1" applyProtection="1">
      <alignment horizontal="left" vertical="center"/>
    </xf>
    <xf numFmtId="49" fontId="11" fillId="5" borderId="0" xfId="0" applyNumberFormat="1" applyFont="1" applyFill="1" applyAlignment="1" applyProtection="1">
      <alignment horizontal="right" vertical="center"/>
    </xf>
    <xf numFmtId="49" fontId="11" fillId="6" borderId="0" xfId="0" applyNumberFormat="1" applyFont="1" applyFill="1" applyAlignment="1" applyProtection="1">
      <alignment horizontal="center" vertical="center"/>
    </xf>
    <xf numFmtId="49" fontId="12" fillId="7" borderId="0" xfId="0" applyNumberFormat="1" applyFont="1" applyFill="1" applyAlignment="1" applyProtection="1">
      <alignment horizontal="center" vertical="center" wrapText="1"/>
    </xf>
    <xf numFmtId="0" fontId="13" fillId="7" borderId="0" xfId="0" applyFont="1" applyFill="1" applyAlignment="1" applyProtection="1">
      <alignment horizontal="center" vertical="center" wrapText="1"/>
    </xf>
    <xf numFmtId="176" fontId="14" fillId="7" borderId="0" xfId="0" applyNumberFormat="1" applyFont="1" applyFill="1" applyAlignment="1" applyProtection="1">
      <alignment horizontal="right" vertical="center" indent="1"/>
    </xf>
    <xf numFmtId="0" fontId="15" fillId="7" borderId="0" xfId="0" applyFont="1" applyFill="1" applyAlignment="1" applyProtection="1">
      <alignment horizontal="center" vertical="center" wrapText="1"/>
    </xf>
    <xf numFmtId="49" fontId="13" fillId="7" borderId="0" xfId="0" applyNumberFormat="1" applyFont="1" applyFill="1" applyAlignment="1" applyProtection="1">
      <alignment horizontal="center" vertical="center" wrapText="1"/>
    </xf>
    <xf numFmtId="0" fontId="15" fillId="7" borderId="0" xfId="0" applyFont="1" applyFill="1" applyAlignment="1" applyProtection="1">
      <alignment vertical="center" wrapText="1"/>
    </xf>
    <xf numFmtId="49" fontId="8"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9" fillId="8" borderId="0" xfId="0" applyFont="1" applyFill="1" applyAlignment="1" applyProtection="1">
      <alignment horizontal="left" vertical="center"/>
    </xf>
    <xf numFmtId="49" fontId="5" fillId="4" borderId="0" xfId="0" applyNumberFormat="1" applyFont="1" applyFill="1" applyAlignment="1" applyProtection="1">
      <alignment horizontal="left" vertical="center"/>
    </xf>
    <xf numFmtId="0" fontId="1" fillId="9" borderId="0" xfId="0" applyFont="1" applyFill="1" applyAlignment="1">
      <alignment vertical="center"/>
    </xf>
    <xf numFmtId="0" fontId="16" fillId="9" borderId="0" xfId="0" applyFont="1" applyFill="1" applyAlignment="1">
      <alignment vertical="center"/>
    </xf>
    <xf numFmtId="0" fontId="17" fillId="9" borderId="0" xfId="0" applyFont="1" applyFill="1" applyAlignment="1">
      <alignment vertical="center"/>
    </xf>
    <xf numFmtId="0" fontId="17" fillId="9" borderId="0" xfId="0" applyFont="1" applyFill="1" applyBorder="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29</c:v>
                </c:pt>
                <c:pt idx="1">
                  <c:v>52</c:v>
                </c:pt>
                <c:pt idx="2">
                  <c:v>42</c:v>
                </c:pt>
                <c:pt idx="3">
                  <c:v>24</c:v>
                </c:pt>
                <c:pt idx="4">
                  <c:v>23</c:v>
                </c:pt>
                <c:pt idx="5">
                  <c:v>17</c:v>
                </c:pt>
                <c:pt idx="6">
                  <c:v>10</c:v>
                </c:pt>
                <c:pt idx="7">
                  <c:v>7</c:v>
                </c:pt>
                <c:pt idx="8">
                  <c:v>3</c:v>
                </c:pt>
                <c:pt idx="9">
                  <c:v>1</c:v>
                </c:pt>
                <c:pt idx="10">
                  <c:v>3</c:v>
                </c:pt>
                <c:pt idx="11">
                  <c:v>0</c:v>
                </c:pt>
                <c:pt idx="12">
                  <c:v>0</c:v>
                </c:pt>
                <c:pt idx="13">
                  <c:v>1</c:v>
                </c:pt>
                <c:pt idx="14">
                  <c:v>0</c:v>
                </c:pt>
                <c:pt idx="15">
                  <c:v>1</c:v>
                </c:pt>
                <c:pt idx="16">
                  <c:v>0</c:v>
                </c:pt>
                <c:pt idx="17">
                  <c:v>0</c:v>
                </c:pt>
                <c:pt idx="18">
                  <c:v>0</c:v>
                </c:pt>
                <c:pt idx="19">
                  <c:v>0</c:v>
                </c:pt>
                <c:pt idx="20">
                  <c:v>1</c:v>
                </c:pt>
                <c:pt idx="21">
                  <c:v>0</c:v>
                </c:pt>
                <c:pt idx="22">
                  <c:v>0</c:v>
                </c:pt>
                <c:pt idx="23">
                  <c:v>0</c:v>
                </c:pt>
                <c:pt idx="24">
                  <c:v>0</c:v>
                </c:pt>
                <c:pt idx="25">
                  <c:v>0</c:v>
                </c:pt>
                <c:pt idx="26">
                  <c:v>0</c:v>
                </c:pt>
                <c:pt idx="27">
                  <c:v>0</c:v>
                </c:pt>
                <c:pt idx="28">
                  <c:v>2</c:v>
                </c:pt>
                <c:pt idx="29">
                  <c:v>1</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1</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33</c:v>
                </c:pt>
                <c:pt idx="99">
                  <c:v>12</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24</c:v>
                </c:pt>
                <c:pt idx="1">
                  <c:v>42</c:v>
                </c:pt>
                <c:pt idx="2">
                  <c:v>34</c:v>
                </c:pt>
                <c:pt idx="3">
                  <c:v>17</c:v>
                </c:pt>
                <c:pt idx="4">
                  <c:v>17</c:v>
                </c:pt>
                <c:pt idx="5">
                  <c:v>13</c:v>
                </c:pt>
                <c:pt idx="6">
                  <c:v>7</c:v>
                </c:pt>
                <c:pt idx="7">
                  <c:v>5</c:v>
                </c:pt>
                <c:pt idx="8">
                  <c:v>1</c:v>
                </c:pt>
                <c:pt idx="9">
                  <c:v>0</c:v>
                </c:pt>
                <c:pt idx="10">
                  <c:v>1</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10160</xdr:rowOff>
    </xdr:from>
    <xdr:to>
      <xdr:col>43</xdr:col>
      <xdr:colOff>45720</xdr:colOff>
      <xdr:row>23</xdr:row>
      <xdr:rowOff>210820</xdr:rowOff>
    </xdr:to>
    <xdr:grpSp>
      <xdr:nvGrpSpPr>
        <xdr:cNvPr id="2" name="组合 1"/>
        <xdr:cNvGrpSpPr/>
      </xdr:nvGrpSpPr>
      <xdr:grpSpPr>
        <a:xfrm>
          <a:off x="9525" y="10160"/>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248920</xdr:colOff>
      <xdr:row>13</xdr:row>
      <xdr:rowOff>193675</xdr:rowOff>
    </xdr:from>
    <xdr:to>
      <xdr:col>40</xdr:col>
      <xdr:colOff>69215</xdr:colOff>
      <xdr:row>18</xdr:row>
      <xdr:rowOff>125730</xdr:rowOff>
    </xdr:to>
    <xdr:grpSp>
      <xdr:nvGrpSpPr>
        <xdr:cNvPr id="26" name="组合 25"/>
        <xdr:cNvGrpSpPr/>
      </xdr:nvGrpSpPr>
      <xdr:grpSpPr>
        <a:xfrm rot="0">
          <a:off x="3563620" y="301688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248920</xdr:colOff>
      <xdr:row>5</xdr:row>
      <xdr:rowOff>95250</xdr:rowOff>
    </xdr:from>
    <xdr:to>
      <xdr:col>40</xdr:col>
      <xdr:colOff>69215</xdr:colOff>
      <xdr:row>9</xdr:row>
      <xdr:rowOff>207645</xdr:rowOff>
    </xdr:to>
    <xdr:grpSp>
      <xdr:nvGrpSpPr>
        <xdr:cNvPr id="32" name="组合 31"/>
        <xdr:cNvGrpSpPr/>
      </xdr:nvGrpSpPr>
      <xdr:grpSpPr>
        <a:xfrm>
          <a:off x="3563620" y="118110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0</xdr:rowOff>
    </xdr:from>
    <xdr:to>
      <xdr:col>101</xdr:col>
      <xdr:colOff>274320</xdr:colOff>
      <xdr:row>28</xdr:row>
      <xdr:rowOff>160020</xdr:rowOff>
    </xdr:to>
    <xdr:graphicFrame>
      <xdr:nvGraphicFramePr>
        <xdr:cNvPr id="8" name="图表 7"/>
        <xdr:cNvGraphicFramePr/>
      </xdr:nvGraphicFramePr>
      <xdr:xfrm>
        <a:off x="276225" y="1552575"/>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V33" sqref="V33"/>
    </sheetView>
  </sheetViews>
  <sheetFormatPr defaultColWidth="3.625" defaultRowHeight="17.1" customHeight="1"/>
  <cols>
    <col min="1" max="1" width="3.625" style="33" customWidth="1"/>
    <col min="2" max="16384" width="3.625" style="33"/>
  </cols>
  <sheetData>
    <row r="4" customHeight="1" spans="1:4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row>
    <row r="5" customHeight="1" spans="1:42">
      <c r="A5" s="34"/>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row>
    <row r="6" customHeight="1" spans="1:42">
      <c r="A6" s="35"/>
      <c r="B6" s="35"/>
      <c r="C6" s="35"/>
      <c r="D6" s="35"/>
      <c r="E6" s="35"/>
      <c r="F6" s="35"/>
      <c r="G6" s="35"/>
      <c r="H6" s="36"/>
      <c r="I6" s="36"/>
      <c r="J6" s="36"/>
      <c r="K6" s="36"/>
      <c r="L6" s="36"/>
      <c r="M6" s="36"/>
      <c r="N6" s="36"/>
      <c r="O6" s="36"/>
      <c r="P6" s="36"/>
      <c r="Q6" s="36"/>
      <c r="R6" s="35"/>
      <c r="S6" s="35"/>
      <c r="T6" s="35"/>
      <c r="U6" s="35"/>
      <c r="V6" s="35"/>
      <c r="W6" s="35"/>
      <c r="X6" s="35"/>
      <c r="Y6" s="35"/>
      <c r="Z6" s="35"/>
      <c r="AA6" s="35"/>
      <c r="AB6" s="35"/>
      <c r="AC6" s="35"/>
      <c r="AD6" s="35"/>
      <c r="AE6" s="35"/>
      <c r="AF6" s="35"/>
      <c r="AG6" s="35"/>
      <c r="AH6" s="35"/>
      <c r="AI6" s="35"/>
      <c r="AJ6" s="35"/>
      <c r="AK6" s="35"/>
      <c r="AL6" s="35"/>
      <c r="AM6" s="35"/>
      <c r="AN6" s="35"/>
      <c r="AO6" s="35"/>
      <c r="AP6" s="35"/>
    </row>
    <row r="7" customHeight="1" spans="5:23">
      <c r="E7" s="37"/>
      <c r="F7" s="37"/>
      <c r="G7" s="37"/>
      <c r="H7" s="38"/>
      <c r="I7" s="38"/>
      <c r="J7" s="38"/>
      <c r="K7" s="38"/>
      <c r="L7" s="38"/>
      <c r="M7" s="38"/>
      <c r="N7" s="39"/>
      <c r="O7" s="39"/>
      <c r="P7" s="39"/>
      <c r="Q7" s="39"/>
      <c r="T7" s="39"/>
      <c r="U7" s="39"/>
      <c r="V7" s="39"/>
      <c r="W7" s="39"/>
    </row>
    <row r="8" customHeight="1" spans="8:23">
      <c r="H8" s="39"/>
      <c r="I8" s="39"/>
      <c r="J8" s="39"/>
      <c r="K8" s="39"/>
      <c r="L8" s="39"/>
      <c r="M8" s="39"/>
      <c r="N8" s="39"/>
      <c r="O8" s="39"/>
      <c r="P8" s="39"/>
      <c r="Q8" s="39"/>
      <c r="T8" s="39"/>
      <c r="U8" s="39"/>
      <c r="V8" s="39"/>
      <c r="W8" s="39"/>
    </row>
    <row r="9" customHeight="1" spans="8:23">
      <c r="H9" s="39"/>
      <c r="I9" s="39"/>
      <c r="J9" s="39"/>
      <c r="K9" s="39"/>
      <c r="L9" s="39"/>
      <c r="M9" s="39"/>
      <c r="N9" s="39"/>
      <c r="O9" s="39"/>
      <c r="P9" s="39"/>
      <c r="Q9" s="39"/>
      <c r="R9" s="39"/>
      <c r="S9" s="39"/>
      <c r="T9" s="39"/>
      <c r="U9" s="39"/>
      <c r="V9" s="39"/>
      <c r="W9" s="39"/>
    </row>
    <row r="10" customHeight="1" spans="17:23">
      <c r="Q10" s="39"/>
      <c r="R10" s="39"/>
      <c r="S10" s="39"/>
      <c r="T10" s="39"/>
      <c r="U10" s="39"/>
      <c r="V10" s="39"/>
      <c r="W10" s="39"/>
    </row>
    <row r="11" customHeight="1" spans="17:23">
      <c r="Q11" s="39"/>
      <c r="R11" s="39"/>
      <c r="S11" s="39"/>
      <c r="T11" s="39"/>
      <c r="U11" s="39"/>
      <c r="V11" s="39"/>
      <c r="W11" s="39"/>
    </row>
    <row r="12" customHeight="1" spans="17:23">
      <c r="Q12" s="39"/>
      <c r="R12" s="39"/>
      <c r="S12" s="39"/>
      <c r="T12" s="39"/>
      <c r="U12" s="39"/>
      <c r="V12" s="39"/>
      <c r="W12" s="39"/>
    </row>
    <row r="13" customHeight="1" spans="17:23">
      <c r="Q13" s="39"/>
      <c r="R13" s="39"/>
      <c r="S13" s="39"/>
      <c r="T13" s="39"/>
      <c r="U13" s="39"/>
      <c r="V13" s="39"/>
      <c r="W13" s="3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5" customWidth="1"/>
    <col min="2" max="2" width="2.625" style="16" customWidth="1"/>
    <col min="3" max="3" width="15.25" style="17" customWidth="1"/>
    <col min="4" max="4" width="19.125" style="18" customWidth="1"/>
    <col min="5" max="5" width="10.5" style="18" customWidth="1"/>
    <col min="6" max="8" width="24.625" style="18" customWidth="1"/>
    <col min="9" max="9" width="2.625" style="16" customWidth="1"/>
    <col min="10" max="10" width="4.25" style="15" customWidth="1"/>
    <col min="11" max="16384" width="9" style="15"/>
  </cols>
  <sheetData>
    <row r="1" s="13" customFormat="1" ht="54.95" customHeight="1" spans="1:10">
      <c r="A1" s="19"/>
      <c r="C1" s="20"/>
      <c r="J1" s="32"/>
    </row>
    <row r="2" ht="15.95" customHeight="1" spans="2:9">
      <c r="B2" s="15"/>
      <c r="C2" s="21"/>
      <c r="D2" s="15"/>
      <c r="E2" s="15"/>
      <c r="F2" s="15"/>
      <c r="G2" s="15"/>
      <c r="H2" s="15"/>
      <c r="I2" s="15"/>
    </row>
    <row r="3" ht="15.95" customHeight="1" spans="3:8">
      <c r="C3" s="22"/>
      <c r="D3" s="16"/>
      <c r="E3" s="16"/>
      <c r="F3" s="16"/>
      <c r="G3" s="16"/>
      <c r="H3" s="16"/>
    </row>
    <row r="4" ht="75.95" customHeight="1" spans="3:8">
      <c r="C4" s="23" t="s">
        <v>0</v>
      </c>
      <c r="D4" s="24"/>
      <c r="E4" s="24"/>
      <c r="F4" s="25">
        <f>D7</f>
        <v>1</v>
      </c>
      <c r="G4" s="26" t="s">
        <v>1</v>
      </c>
      <c r="H4" s="26"/>
    </row>
    <row r="5" ht="6" customHeight="1" spans="3:8">
      <c r="C5" s="27"/>
      <c r="D5" s="24"/>
      <c r="E5" s="24"/>
      <c r="F5" s="28"/>
      <c r="G5" s="28"/>
      <c r="H5" s="28"/>
    </row>
    <row r="6" s="14" customFormat="1" ht="9" customHeight="1" spans="2:9">
      <c r="B6" s="16"/>
      <c r="C6" s="29"/>
      <c r="D6" s="30"/>
      <c r="E6" s="30"/>
      <c r="F6" s="31"/>
      <c r="G6" s="31"/>
      <c r="H6" s="31"/>
      <c r="I6" s="16"/>
    </row>
    <row r="7" hidden="1" customHeight="1" spans="2:4">
      <c r="B7" s="16" t="s">
        <v>2</v>
      </c>
      <c r="D7" s="18">
        <v>1</v>
      </c>
    </row>
    <row r="8" customHeight="1" spans="3:4">
      <c r="C8" s="17" t="s">
        <v>3</v>
      </c>
      <c r="D8" s="18" t="s">
        <v>4</v>
      </c>
    </row>
    <row r="9" customHeight="1" spans="3:4">
      <c r="C9" s="17" t="s">
        <v>5</v>
      </c>
      <c r="D9" s="18" t="s">
        <v>6</v>
      </c>
    </row>
    <row r="10" customHeight="1" spans="3:4">
      <c r="C10" s="17" t="s">
        <v>7</v>
      </c>
      <c r="D10" s="18" t="s">
        <v>8</v>
      </c>
    </row>
    <row r="11" customHeight="1" spans="3:4">
      <c r="C11" s="17" t="s">
        <v>9</v>
      </c>
      <c r="D11" s="18" t="s">
        <v>10</v>
      </c>
    </row>
    <row r="18" hidden="1" customHeight="1" spans="3:4">
      <c r="C18" s="17" t="s">
        <v>3</v>
      </c>
      <c r="D18" s="18" t="s">
        <v>11</v>
      </c>
    </row>
    <row r="19" hidden="1" customHeight="1" spans="3:4">
      <c r="C19" s="17" t="s">
        <v>5</v>
      </c>
      <c r="D19" s="18" t="s">
        <v>12</v>
      </c>
    </row>
    <row r="20" hidden="1" customHeight="1" spans="3:4">
      <c r="C20" s="17" t="s">
        <v>7</v>
      </c>
      <c r="D20" s="18" t="s">
        <v>13</v>
      </c>
    </row>
    <row r="21" hidden="1" customHeight="1"/>
    <row r="22" hidden="1" customHeight="1"/>
    <row r="23" hidden="1" customHeight="1"/>
    <row r="24" hidden="1" customHeight="1"/>
    <row r="25" hidden="1" customHeight="1"/>
    <row r="26" hidden="1" customHeight="1"/>
    <row r="27" hidden="1" customHeight="1"/>
    <row r="28" hidden="1" customHeight="1" spans="3:4">
      <c r="C28" s="17" t="s">
        <v>3</v>
      </c>
      <c r="D28" s="18" t="s">
        <v>14</v>
      </c>
    </row>
    <row r="29" hidden="1" customHeight="1" spans="3:4">
      <c r="C29" s="17" t="s">
        <v>5</v>
      </c>
      <c r="D29" s="18" t="s">
        <v>6</v>
      </c>
    </row>
    <row r="30" hidden="1" customHeight="1" spans="3:4">
      <c r="C30" s="17" t="s">
        <v>7</v>
      </c>
      <c r="D30" s="18" t="s">
        <v>15</v>
      </c>
    </row>
    <row r="31" hidden="1" customHeight="1" spans="3:4">
      <c r="C31" s="17" t="s">
        <v>9</v>
      </c>
      <c r="D31" s="18" t="s">
        <v>10</v>
      </c>
    </row>
    <row r="32" hidden="1" customHeight="1"/>
    <row r="33" hidden="1" customHeight="1"/>
    <row r="34" hidden="1" customHeight="1"/>
    <row r="35" hidden="1" customHeight="1"/>
    <row r="36" hidden="1" customHeight="1"/>
    <row r="37" hidden="1" customHeight="1"/>
    <row r="38" hidden="1" customHeight="1" spans="3:4">
      <c r="C38" s="17" t="s">
        <v>3</v>
      </c>
      <c r="D38" s="18"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7" t="s">
        <v>3</v>
      </c>
      <c r="D48" s="18" t="s">
        <v>17</v>
      </c>
    </row>
    <row r="49" hidden="1" customHeight="1" spans="3:4">
      <c r="C49" s="17" t="s">
        <v>5</v>
      </c>
      <c r="D49" s="18" t="s">
        <v>18</v>
      </c>
    </row>
    <row r="50" hidden="1" customHeight="1" spans="3:4">
      <c r="C50" s="17" t="s">
        <v>7</v>
      </c>
      <c r="D50" s="18" t="s">
        <v>19</v>
      </c>
    </row>
    <row r="51" hidden="1" customHeight="1"/>
    <row r="52" hidden="1" customHeight="1"/>
    <row r="53" hidden="1" customHeight="1"/>
    <row r="54" hidden="1" customHeight="1"/>
    <row r="55" hidden="1" customHeight="1"/>
    <row r="56" hidden="1" customHeight="1"/>
    <row r="57" hidden="1" customHeight="1"/>
    <row r="58" hidden="1" customHeight="1" spans="3:4">
      <c r="C58" s="17" t="s">
        <v>3</v>
      </c>
      <c r="D58" s="18" t="s">
        <v>20</v>
      </c>
    </row>
    <row r="59" hidden="1" customHeight="1" spans="4:4">
      <c r="D59" s="18"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7" t="s">
        <v>3</v>
      </c>
      <c r="D68" s="18" t="s">
        <v>22</v>
      </c>
    </row>
    <row r="69" hidden="1" customHeight="1" spans="3:4">
      <c r="C69" s="17" t="s">
        <v>5</v>
      </c>
      <c r="D69" s="18" t="s">
        <v>23</v>
      </c>
    </row>
    <row r="70" hidden="1" customHeight="1" spans="3:4">
      <c r="C70" s="17" t="s">
        <v>7</v>
      </c>
      <c r="D70" s="18" t="s">
        <v>24</v>
      </c>
    </row>
    <row r="71" hidden="1" customHeight="1" spans="3:4">
      <c r="C71" s="17" t="s">
        <v>9</v>
      </c>
      <c r="D71" s="18" t="s">
        <v>25</v>
      </c>
    </row>
    <row r="72" hidden="1" customHeight="1"/>
    <row r="73" hidden="1" customHeight="1"/>
    <row r="74" hidden="1" customHeight="1"/>
    <row r="75" hidden="1" customHeight="1"/>
    <row r="76" hidden="1" customHeight="1"/>
    <row r="77" hidden="1" customHeight="1"/>
    <row r="78" hidden="1" customHeight="1" spans="3:3">
      <c r="C78" s="1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A3" sqref="A3"/>
    </sheetView>
  </sheetViews>
  <sheetFormatPr defaultColWidth="9" defaultRowHeight="14.25" outlineLevelCol="5"/>
  <cols>
    <col min="1" max="1" width="22.125" customWidth="1"/>
    <col min="6" max="6" width="16.125" customWidth="1"/>
  </cols>
  <sheetData>
    <row r="1" spans="1:1">
      <c r="A1" s="11">
        <v>58441</v>
      </c>
    </row>
    <row r="3" spans="1:6">
      <c r="A3" t="s">
        <v>26</v>
      </c>
      <c r="B3" t="s">
        <v>27</v>
      </c>
      <c r="C3" t="s">
        <v>28</v>
      </c>
      <c r="D3">
        <v>123</v>
      </c>
      <c r="E3" t="s">
        <v>29</v>
      </c>
      <c r="F3" s="12"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39</v>
      </c>
    </row>
    <row r="13" spans="1:5">
      <c r="A13" t="s">
        <v>40</v>
      </c>
      <c r="B13" t="s">
        <v>32</v>
      </c>
      <c r="C13" t="s">
        <v>32</v>
      </c>
      <c r="D13" t="s">
        <v>32</v>
      </c>
      <c r="E13" t="s">
        <v>39</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8"/>
  <sheetViews>
    <sheetView showGridLines="0" workbookViewId="0">
      <pane ySplit="4" topLeftCell="A5" activePane="bottomLeft" state="frozen"/>
      <selection/>
      <selection pane="bottomLeft" activeCell="H10" sqref="H10"/>
    </sheetView>
  </sheetViews>
  <sheetFormatPr defaultColWidth="9" defaultRowHeight="20" customHeight="1" outlineLevelRow="7"/>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41</v>
      </c>
      <c r="L3" s="10"/>
    </row>
    <row r="4" s="1" customFormat="1" ht="30" customHeight="1" spans="3:12">
      <c r="C4" s="5" t="s">
        <v>42</v>
      </c>
      <c r="D4" s="5" t="s">
        <v>43</v>
      </c>
      <c r="E4" s="5" t="s">
        <v>44</v>
      </c>
      <c r="F4" s="5" t="s">
        <v>45</v>
      </c>
      <c r="G4" s="5" t="s">
        <v>46</v>
      </c>
      <c r="H4" s="5" t="s">
        <v>47</v>
      </c>
      <c r="I4" s="5" t="s">
        <v>48</v>
      </c>
      <c r="J4" s="5" t="s">
        <v>49</v>
      </c>
      <c r="K4" s="5" t="s">
        <v>50</v>
      </c>
      <c r="L4" s="10"/>
    </row>
    <row r="5" customHeight="1" spans="2:12">
      <c r="B5" s="2">
        <v>300</v>
      </c>
      <c r="C5" s="3">
        <v>1</v>
      </c>
      <c r="D5" s="3" t="s">
        <v>51</v>
      </c>
      <c r="E5" s="3" t="s">
        <v>52</v>
      </c>
      <c r="F5" s="3" t="s">
        <v>52</v>
      </c>
      <c r="G5" s="3" t="s">
        <v>53</v>
      </c>
      <c r="H5" s="3" t="s">
        <v>54</v>
      </c>
      <c r="I5" s="3" t="s">
        <v>55</v>
      </c>
      <c r="J5" s="3">
        <v>18888888888</v>
      </c>
      <c r="K5" s="3">
        <v>457853</v>
      </c>
      <c r="L5" s="9" t="s">
        <v>56</v>
      </c>
    </row>
    <row r="6" customHeight="1" spans="2:12">
      <c r="B6" s="2">
        <v>640</v>
      </c>
      <c r="C6" s="3">
        <v>2</v>
      </c>
      <c r="D6" s="3" t="s">
        <v>57</v>
      </c>
      <c r="E6" s="3" t="s">
        <v>58</v>
      </c>
      <c r="F6" s="3">
        <v>123</v>
      </c>
      <c r="G6" s="3" t="s">
        <v>53</v>
      </c>
      <c r="H6" s="3" t="s">
        <v>59</v>
      </c>
      <c r="I6" s="3" t="s">
        <v>60</v>
      </c>
      <c r="J6" s="3">
        <v>13333333333</v>
      </c>
      <c r="K6" s="3">
        <v>123123</v>
      </c>
      <c r="L6" s="9" t="s">
        <v>61</v>
      </c>
    </row>
    <row r="7" customHeight="1" spans="2:12">
      <c r="B7" s="2">
        <v>643</v>
      </c>
      <c r="C7" s="3">
        <v>3</v>
      </c>
      <c r="D7" s="3" t="s">
        <v>62</v>
      </c>
      <c r="E7" s="3" t="s">
        <v>63</v>
      </c>
      <c r="F7" s="3">
        <v>123</v>
      </c>
      <c r="G7" s="3" t="s">
        <v>29</v>
      </c>
      <c r="H7" s="3" t="s">
        <v>54</v>
      </c>
      <c r="I7" s="3" t="s">
        <v>64</v>
      </c>
      <c r="J7" s="3">
        <v>11111111111</v>
      </c>
      <c r="K7" s="3">
        <v>12345</v>
      </c>
      <c r="L7" s="9" t="s">
        <v>65</v>
      </c>
    </row>
    <row r="8" customHeight="1" spans="2:12">
      <c r="B8" s="2">
        <v>644</v>
      </c>
      <c r="C8" s="3">
        <v>4</v>
      </c>
      <c r="D8" s="3" t="s">
        <v>27</v>
      </c>
      <c r="E8" s="3" t="s">
        <v>28</v>
      </c>
      <c r="F8" s="3">
        <v>123</v>
      </c>
      <c r="G8" s="3" t="s">
        <v>29</v>
      </c>
      <c r="H8" s="3" t="s">
        <v>54</v>
      </c>
      <c r="I8" s="3" t="s">
        <v>66</v>
      </c>
      <c r="J8" s="3">
        <v>11111111111</v>
      </c>
      <c r="K8" s="3">
        <v>123456</v>
      </c>
      <c r="L8" s="9" t="s">
        <v>30</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H1048576">
      <formula1>"正常,锁死"</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2"/>
  <sheetViews>
    <sheetView showGridLines="0" workbookViewId="0">
      <pane ySplit="4" topLeftCell="A5" activePane="bottomLeft" state="frozen"/>
      <selection/>
      <selection pane="bottomLeft" activeCell="F8" sqref="F8"/>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67</v>
      </c>
      <c r="DB3" s="10"/>
    </row>
    <row r="4" s="1" customFormat="1" ht="30" customHeight="1" spans="3:106">
      <c r="C4" s="5" t="s">
        <v>42</v>
      </c>
      <c r="D4" s="5" t="s">
        <v>43</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c r="DA4" s="5" t="s">
        <v>167</v>
      </c>
      <c r="DB4" s="10"/>
    </row>
    <row r="5" s="2" customFormat="1" customHeight="1" spans="2:106">
      <c r="B5" s="2">
        <v>176</v>
      </c>
      <c r="C5" s="3">
        <v>1</v>
      </c>
      <c r="D5" s="3" t="s">
        <v>51</v>
      </c>
      <c r="E5" s="3" t="s">
        <v>168</v>
      </c>
      <c r="F5" s="3" t="s">
        <v>168</v>
      </c>
      <c r="G5" s="3" t="s">
        <v>168</v>
      </c>
      <c r="H5" s="3" t="s">
        <v>168</v>
      </c>
      <c r="I5" s="3" t="s">
        <v>168</v>
      </c>
      <c r="J5" s="3" t="s">
        <v>168</v>
      </c>
      <c r="K5" s="3" t="s">
        <v>168</v>
      </c>
      <c r="L5" s="3" t="s">
        <v>168</v>
      </c>
      <c r="M5" s="3" t="s">
        <v>168</v>
      </c>
      <c r="N5" s="3" t="s">
        <v>168</v>
      </c>
      <c r="O5" s="3" t="s">
        <v>168</v>
      </c>
      <c r="P5" s="3" t="s">
        <v>168</v>
      </c>
      <c r="Q5" s="3" t="s">
        <v>168</v>
      </c>
      <c r="R5" s="3" t="s">
        <v>168</v>
      </c>
      <c r="S5" s="3" t="s">
        <v>168</v>
      </c>
      <c r="T5" s="3" t="s">
        <v>168</v>
      </c>
      <c r="U5" s="3" t="s">
        <v>168</v>
      </c>
      <c r="V5" s="3" t="s">
        <v>168</v>
      </c>
      <c r="W5" s="3" t="s">
        <v>168</v>
      </c>
      <c r="X5" s="3" t="s">
        <v>168</v>
      </c>
      <c r="Y5" s="3" t="s">
        <v>168</v>
      </c>
      <c r="Z5" s="3" t="s">
        <v>168</v>
      </c>
      <c r="AA5" s="3" t="s">
        <v>168</v>
      </c>
      <c r="AB5" s="3" t="s">
        <v>168</v>
      </c>
      <c r="AC5" s="3" t="s">
        <v>168</v>
      </c>
      <c r="AD5" s="3" t="s">
        <v>168</v>
      </c>
      <c r="AE5" s="3" t="s">
        <v>168</v>
      </c>
      <c r="AF5" s="3" t="s">
        <v>168</v>
      </c>
      <c r="AG5" s="3" t="s">
        <v>168</v>
      </c>
      <c r="AH5" s="3" t="s">
        <v>168</v>
      </c>
      <c r="AI5" s="3" t="s">
        <v>168</v>
      </c>
      <c r="AJ5" s="3" t="s">
        <v>168</v>
      </c>
      <c r="AK5" s="3" t="s">
        <v>168</v>
      </c>
      <c r="AL5" s="3" t="s">
        <v>168</v>
      </c>
      <c r="AM5" s="3" t="s">
        <v>168</v>
      </c>
      <c r="AN5" s="3" t="s">
        <v>168</v>
      </c>
      <c r="AO5" s="3" t="s">
        <v>168</v>
      </c>
      <c r="AP5" s="3" t="s">
        <v>168</v>
      </c>
      <c r="AQ5" s="3" t="s">
        <v>168</v>
      </c>
      <c r="AR5" s="3" t="s">
        <v>168</v>
      </c>
      <c r="AS5" s="3" t="s">
        <v>168</v>
      </c>
      <c r="AT5" s="3" t="s">
        <v>168</v>
      </c>
      <c r="AU5" s="3" t="s">
        <v>168</v>
      </c>
      <c r="AV5" s="3" t="s">
        <v>168</v>
      </c>
      <c r="AW5" s="3" t="s">
        <v>168</v>
      </c>
      <c r="AX5" s="3" t="s">
        <v>168</v>
      </c>
      <c r="AY5" s="3" t="s">
        <v>168</v>
      </c>
      <c r="AZ5" s="3" t="s">
        <v>168</v>
      </c>
      <c r="BA5" s="3" t="s">
        <v>168</v>
      </c>
      <c r="BB5" s="3" t="s">
        <v>168</v>
      </c>
      <c r="BC5" s="3" t="s">
        <v>169</v>
      </c>
      <c r="BD5" s="3" t="s">
        <v>168</v>
      </c>
      <c r="BE5" s="3" t="s">
        <v>168</v>
      </c>
      <c r="BF5" s="3" t="s">
        <v>168</v>
      </c>
      <c r="BG5" s="3" t="s">
        <v>168</v>
      </c>
      <c r="BH5" s="3" t="s">
        <v>168</v>
      </c>
      <c r="BI5" s="3" t="s">
        <v>168</v>
      </c>
      <c r="BJ5" s="3" t="s">
        <v>168</v>
      </c>
      <c r="BK5" s="3" t="s">
        <v>168</v>
      </c>
      <c r="BL5" s="3" t="s">
        <v>168</v>
      </c>
      <c r="BM5" s="3" t="s">
        <v>168</v>
      </c>
      <c r="BN5" s="3" t="s">
        <v>168</v>
      </c>
      <c r="BO5" s="3" t="s">
        <v>168</v>
      </c>
      <c r="BP5" s="3" t="s">
        <v>168</v>
      </c>
      <c r="BQ5" s="3" t="s">
        <v>168</v>
      </c>
      <c r="BR5" s="3" t="s">
        <v>168</v>
      </c>
      <c r="BS5" s="3" t="s">
        <v>168</v>
      </c>
      <c r="BT5" s="3" t="s">
        <v>168</v>
      </c>
      <c r="BU5" s="3" t="s">
        <v>168</v>
      </c>
      <c r="BV5" s="3" t="s">
        <v>168</v>
      </c>
      <c r="BW5" s="3" t="s">
        <v>168</v>
      </c>
      <c r="BX5" s="3" t="s">
        <v>168</v>
      </c>
      <c r="BY5" s="3" t="s">
        <v>168</v>
      </c>
      <c r="BZ5" s="3" t="s">
        <v>168</v>
      </c>
      <c r="CA5" s="3" t="s">
        <v>168</v>
      </c>
      <c r="CB5" s="3" t="s">
        <v>168</v>
      </c>
      <c r="CC5" s="3" t="s">
        <v>168</v>
      </c>
      <c r="CD5" s="3" t="s">
        <v>168</v>
      </c>
      <c r="CE5" s="3" t="s">
        <v>168</v>
      </c>
      <c r="CF5" s="3" t="s">
        <v>168</v>
      </c>
      <c r="CG5" s="3" t="s">
        <v>168</v>
      </c>
      <c r="CH5" s="3" t="s">
        <v>168</v>
      </c>
      <c r="CI5" s="3" t="s">
        <v>168</v>
      </c>
      <c r="CJ5" s="3" t="s">
        <v>168</v>
      </c>
      <c r="CK5" s="3" t="s">
        <v>168</v>
      </c>
      <c r="CL5" s="3" t="s">
        <v>168</v>
      </c>
      <c r="CM5" s="3" t="s">
        <v>168</v>
      </c>
      <c r="CN5" s="3" t="s">
        <v>168</v>
      </c>
      <c r="CO5" s="3" t="s">
        <v>168</v>
      </c>
      <c r="CP5" s="3" t="s">
        <v>168</v>
      </c>
      <c r="CQ5" s="3" t="s">
        <v>168</v>
      </c>
      <c r="CR5" s="3" t="s">
        <v>168</v>
      </c>
      <c r="CS5" s="3" t="s">
        <v>168</v>
      </c>
      <c r="CT5" s="3" t="s">
        <v>168</v>
      </c>
      <c r="CU5" s="3" t="s">
        <v>168</v>
      </c>
      <c r="CV5" s="3" t="s">
        <v>168</v>
      </c>
      <c r="CW5" s="3" t="s">
        <v>168</v>
      </c>
      <c r="CX5" s="3" t="s">
        <v>168</v>
      </c>
      <c r="CY5" s="3" t="s">
        <v>168</v>
      </c>
      <c r="CZ5" s="3" t="s">
        <v>168</v>
      </c>
      <c r="DA5" s="3" t="s">
        <v>170</v>
      </c>
      <c r="DB5" s="9" t="s">
        <v>56</v>
      </c>
    </row>
    <row r="6" s="2" customFormat="1" customHeight="1" spans="2:106">
      <c r="B6" s="2">
        <v>687</v>
      </c>
      <c r="C6" s="3">
        <v>2</v>
      </c>
      <c r="D6" s="3" t="s">
        <v>57</v>
      </c>
      <c r="E6" s="3" t="s">
        <v>168</v>
      </c>
      <c r="F6" s="3" t="s">
        <v>168</v>
      </c>
      <c r="G6" s="3" t="s">
        <v>168</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170</v>
      </c>
      <c r="DB6" s="9" t="s">
        <v>61</v>
      </c>
    </row>
    <row r="7" s="2" customFormat="1" customHeight="1" spans="2:106">
      <c r="B7" s="2">
        <v>694</v>
      </c>
      <c r="C7" s="3">
        <v>3</v>
      </c>
      <c r="D7" s="3" t="s">
        <v>62</v>
      </c>
      <c r="E7" s="3" t="s">
        <v>168</v>
      </c>
      <c r="F7" s="3" t="s">
        <v>168</v>
      </c>
      <c r="G7" s="3" t="s">
        <v>168</v>
      </c>
      <c r="H7" s="3" t="s">
        <v>168</v>
      </c>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170</v>
      </c>
      <c r="DB7" s="9" t="s">
        <v>65</v>
      </c>
    </row>
    <row r="8" s="2" customFormat="1" customHeight="1" spans="2:106">
      <c r="B8" s="2">
        <v>695</v>
      </c>
      <c r="C8" s="3">
        <v>4</v>
      </c>
      <c r="D8" s="3" t="s">
        <v>27</v>
      </c>
      <c r="E8" s="3" t="s">
        <v>168</v>
      </c>
      <c r="F8" s="3" t="s">
        <v>168</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170</v>
      </c>
      <c r="DB8" s="9" t="s">
        <v>30</v>
      </c>
    </row>
    <row r="9" s="2" customFormat="1" customHeight="1" spans="3:106">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9"/>
    </row>
    <row r="10" s="2" customFormat="1" customHeight="1" spans="3:106">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9"/>
    </row>
    <row r="11" s="2" customFormat="1" customHeight="1" spans="3:106">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9"/>
    </row>
    <row r="12" s="2" customFormat="1" customHeight="1" spans="3:106">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9"/>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21"/>
  <sheetViews>
    <sheetView showGridLines="0" workbookViewId="0">
      <pane ySplit="4" topLeftCell="A5" activePane="bottomLeft" state="frozen"/>
      <selection/>
      <selection pane="bottomLeft" activeCell="G16" sqref="G16"/>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171</v>
      </c>
    </row>
    <row r="4" s="1" customFormat="1" ht="30" customHeight="1" spans="3:9">
      <c r="C4" s="5" t="s">
        <v>42</v>
      </c>
      <c r="D4" s="5" t="s">
        <v>46</v>
      </c>
      <c r="E4" s="5" t="s">
        <v>172</v>
      </c>
      <c r="F4" s="5" t="s">
        <v>173</v>
      </c>
      <c r="G4" s="5" t="s">
        <v>174</v>
      </c>
      <c r="H4" s="5" t="s">
        <v>175</v>
      </c>
      <c r="I4" s="5" t="s">
        <v>176</v>
      </c>
    </row>
    <row r="5" s="2" customFormat="1" customHeight="1" spans="2:9">
      <c r="B5" s="2">
        <v>31</v>
      </c>
      <c r="C5" s="3">
        <v>1</v>
      </c>
      <c r="D5" s="3" t="s">
        <v>53</v>
      </c>
      <c r="E5" s="3" t="s">
        <v>33</v>
      </c>
      <c r="F5" s="3" t="s">
        <v>32</v>
      </c>
      <c r="G5" s="3" t="s">
        <v>32</v>
      </c>
      <c r="H5" s="3" t="s">
        <v>32</v>
      </c>
      <c r="I5" s="3" t="s">
        <v>32</v>
      </c>
    </row>
    <row r="6" s="2" customFormat="1" customHeight="1" spans="2:9">
      <c r="B6" s="2">
        <v>35</v>
      </c>
      <c r="C6" s="3">
        <v>2</v>
      </c>
      <c r="D6" s="3" t="s">
        <v>53</v>
      </c>
      <c r="E6" s="3" t="s">
        <v>34</v>
      </c>
      <c r="F6" s="3" t="s">
        <v>32</v>
      </c>
      <c r="G6" s="3" t="s">
        <v>32</v>
      </c>
      <c r="H6" s="3" t="s">
        <v>32</v>
      </c>
      <c r="I6" s="3" t="s">
        <v>32</v>
      </c>
    </row>
    <row r="7" s="2" customFormat="1" customHeight="1" spans="2:9">
      <c r="B7" s="2">
        <v>36</v>
      </c>
      <c r="C7" s="3">
        <v>3</v>
      </c>
      <c r="D7" s="3" t="s">
        <v>53</v>
      </c>
      <c r="E7" s="3" t="s">
        <v>31</v>
      </c>
      <c r="F7" s="3" t="s">
        <v>32</v>
      </c>
      <c r="G7" s="3" t="s">
        <v>32</v>
      </c>
      <c r="H7" s="3" t="s">
        <v>32</v>
      </c>
      <c r="I7" s="3" t="s">
        <v>32</v>
      </c>
    </row>
    <row r="8" s="2" customFormat="1" customHeight="1" spans="2:9">
      <c r="B8" s="2">
        <v>37</v>
      </c>
      <c r="C8" s="3">
        <v>4</v>
      </c>
      <c r="D8" s="3" t="s">
        <v>53</v>
      </c>
      <c r="E8" s="3" t="s">
        <v>35</v>
      </c>
      <c r="F8" s="3" t="s">
        <v>32</v>
      </c>
      <c r="G8" s="3" t="s">
        <v>32</v>
      </c>
      <c r="H8" s="3" t="s">
        <v>32</v>
      </c>
      <c r="I8" s="3" t="s">
        <v>32</v>
      </c>
    </row>
    <row r="9" customHeight="1" spans="2:9">
      <c r="B9" s="2">
        <v>38</v>
      </c>
      <c r="C9" s="3">
        <v>5</v>
      </c>
      <c r="D9" s="3" t="s">
        <v>53</v>
      </c>
      <c r="E9" s="3" t="s">
        <v>1</v>
      </c>
      <c r="F9" s="3" t="s">
        <v>32</v>
      </c>
      <c r="G9" s="3" t="s">
        <v>32</v>
      </c>
      <c r="H9" s="3" t="s">
        <v>32</v>
      </c>
      <c r="I9" s="3" t="s">
        <v>32</v>
      </c>
    </row>
    <row r="10" customHeight="1" spans="2:9">
      <c r="B10" s="2">
        <v>39</v>
      </c>
      <c r="C10" s="3">
        <v>6</v>
      </c>
      <c r="D10" s="3" t="s">
        <v>53</v>
      </c>
      <c r="E10" s="3" t="s">
        <v>36</v>
      </c>
      <c r="F10" s="3" t="s">
        <v>32</v>
      </c>
      <c r="G10" s="3" t="s">
        <v>32</v>
      </c>
      <c r="H10" s="3" t="s">
        <v>32</v>
      </c>
      <c r="I10" s="3" t="s">
        <v>32</v>
      </c>
    </row>
    <row r="11" customHeight="1" spans="2:9">
      <c r="B11" s="2">
        <v>40</v>
      </c>
      <c r="C11" s="3">
        <v>7</v>
      </c>
      <c r="D11" s="3" t="s">
        <v>53</v>
      </c>
      <c r="E11" s="3" t="s">
        <v>37</v>
      </c>
      <c r="F11" s="3" t="s">
        <v>32</v>
      </c>
      <c r="G11" s="3" t="s">
        <v>32</v>
      </c>
      <c r="H11" s="3" t="s">
        <v>32</v>
      </c>
      <c r="I11" s="3" t="s">
        <v>32</v>
      </c>
    </row>
    <row r="12" customHeight="1" spans="2:9">
      <c r="B12" s="2">
        <v>41</v>
      </c>
      <c r="C12" s="3">
        <v>8</v>
      </c>
      <c r="D12" s="3" t="s">
        <v>53</v>
      </c>
      <c r="E12" s="3" t="s">
        <v>38</v>
      </c>
      <c r="F12" s="3" t="s">
        <v>32</v>
      </c>
      <c r="G12" s="3" t="s">
        <v>32</v>
      </c>
      <c r="H12" s="3" t="s">
        <v>32</v>
      </c>
      <c r="I12" s="3" t="s">
        <v>32</v>
      </c>
    </row>
    <row r="13" customHeight="1" spans="2:9">
      <c r="B13" s="2">
        <v>45</v>
      </c>
      <c r="C13" s="3">
        <v>9</v>
      </c>
      <c r="D13" s="3" t="s">
        <v>29</v>
      </c>
      <c r="E13" s="3" t="s">
        <v>31</v>
      </c>
      <c r="F13" s="3" t="s">
        <v>32</v>
      </c>
      <c r="G13" s="3" t="s">
        <v>32</v>
      </c>
      <c r="H13" s="3" t="s">
        <v>32</v>
      </c>
      <c r="I13" s="3" t="s">
        <v>32</v>
      </c>
    </row>
    <row r="14" customHeight="1" spans="2:9">
      <c r="B14" s="2">
        <v>47</v>
      </c>
      <c r="C14" s="3">
        <v>10</v>
      </c>
      <c r="D14" s="3" t="s">
        <v>29</v>
      </c>
      <c r="E14" s="3" t="s">
        <v>33</v>
      </c>
      <c r="F14" s="3" t="s">
        <v>32</v>
      </c>
      <c r="G14" s="3" t="s">
        <v>32</v>
      </c>
      <c r="H14" s="3" t="s">
        <v>32</v>
      </c>
      <c r="I14" s="3" t="s">
        <v>32</v>
      </c>
    </row>
    <row r="15" customHeight="1" spans="2:9">
      <c r="B15" s="2">
        <v>48</v>
      </c>
      <c r="C15" s="3">
        <v>11</v>
      </c>
      <c r="D15" s="3" t="s">
        <v>29</v>
      </c>
      <c r="E15" s="3" t="s">
        <v>34</v>
      </c>
      <c r="F15" s="3" t="s">
        <v>32</v>
      </c>
      <c r="G15" s="3" t="s">
        <v>32</v>
      </c>
      <c r="H15" s="3" t="s">
        <v>32</v>
      </c>
      <c r="I15" s="3" t="s">
        <v>32</v>
      </c>
    </row>
    <row r="16" customHeight="1" spans="2:9">
      <c r="B16" s="2">
        <v>49</v>
      </c>
      <c r="C16" s="3">
        <v>12</v>
      </c>
      <c r="D16" s="3" t="s">
        <v>29</v>
      </c>
      <c r="E16" s="3" t="s">
        <v>35</v>
      </c>
      <c r="F16" s="3" t="s">
        <v>32</v>
      </c>
      <c r="G16" s="3" t="s">
        <v>32</v>
      </c>
      <c r="H16" s="3" t="s">
        <v>32</v>
      </c>
      <c r="I16" s="3" t="s">
        <v>32</v>
      </c>
    </row>
    <row r="17" customHeight="1" spans="2:9">
      <c r="B17" s="2">
        <v>50</v>
      </c>
      <c r="C17" s="3">
        <v>13</v>
      </c>
      <c r="D17" s="3" t="s">
        <v>29</v>
      </c>
      <c r="E17" s="3" t="s">
        <v>1</v>
      </c>
      <c r="F17" s="3" t="s">
        <v>32</v>
      </c>
      <c r="G17" s="3" t="s">
        <v>32</v>
      </c>
      <c r="H17" s="3" t="s">
        <v>32</v>
      </c>
      <c r="I17" s="3" t="s">
        <v>32</v>
      </c>
    </row>
    <row r="18" customHeight="1" spans="2:9">
      <c r="B18" s="2">
        <v>51</v>
      </c>
      <c r="C18" s="3">
        <v>14</v>
      </c>
      <c r="D18" s="3" t="s">
        <v>29</v>
      </c>
      <c r="E18" s="3" t="s">
        <v>36</v>
      </c>
      <c r="F18" s="3" t="s">
        <v>32</v>
      </c>
      <c r="G18" s="3" t="s">
        <v>32</v>
      </c>
      <c r="H18" s="3" t="s">
        <v>32</v>
      </c>
      <c r="I18" s="3" t="s">
        <v>32</v>
      </c>
    </row>
    <row r="19" customHeight="1" spans="2:9">
      <c r="B19" s="2">
        <v>52</v>
      </c>
      <c r="C19" s="3">
        <v>15</v>
      </c>
      <c r="D19" s="3" t="s">
        <v>29</v>
      </c>
      <c r="E19" s="3" t="s">
        <v>37</v>
      </c>
      <c r="F19" s="3" t="s">
        <v>32</v>
      </c>
      <c r="G19" s="3" t="s">
        <v>32</v>
      </c>
      <c r="H19" s="3" t="s">
        <v>32</v>
      </c>
      <c r="I19" s="3" t="s">
        <v>32</v>
      </c>
    </row>
    <row r="20" customHeight="1" spans="2:9">
      <c r="B20" s="2">
        <v>53</v>
      </c>
      <c r="C20" s="3">
        <v>16</v>
      </c>
      <c r="D20" s="3" t="s">
        <v>29</v>
      </c>
      <c r="E20" s="3" t="s">
        <v>38</v>
      </c>
      <c r="F20" s="3" t="s">
        <v>32</v>
      </c>
      <c r="G20" s="3" t="s">
        <v>32</v>
      </c>
      <c r="H20" s="3" t="s">
        <v>32</v>
      </c>
      <c r="I20" s="3" t="s">
        <v>39</v>
      </c>
    </row>
    <row r="21" customHeight="1" spans="2:9">
      <c r="B21" s="2">
        <v>55</v>
      </c>
      <c r="C21" s="3">
        <v>17</v>
      </c>
      <c r="D21" s="3" t="s">
        <v>53</v>
      </c>
      <c r="E21" s="3" t="s">
        <v>40</v>
      </c>
      <c r="F21" s="3" t="s">
        <v>32</v>
      </c>
      <c r="G21" s="3" t="s">
        <v>32</v>
      </c>
      <c r="H21" s="3" t="s">
        <v>32</v>
      </c>
      <c r="I21" s="3" t="s">
        <v>39</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M8" sqref="M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177</v>
      </c>
    </row>
    <row r="4" s="1" customFormat="1" ht="30" customHeight="1" spans="3:104">
      <c r="C4" s="5" t="s">
        <v>42</v>
      </c>
      <c r="D4" s="5" t="s">
        <v>178</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2" sqref="M12"/>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179</v>
      </c>
    </row>
    <row r="4" s="1" customFormat="1" ht="30" customHeight="1" spans="3:104">
      <c r="C4" s="5" t="s">
        <v>42</v>
      </c>
      <c r="D4" s="5" t="s">
        <v>178</v>
      </c>
      <c r="E4" s="5" t="s">
        <v>68</v>
      </c>
      <c r="F4" s="5" t="s">
        <v>69</v>
      </c>
      <c r="G4" s="5" t="s">
        <v>70</v>
      </c>
      <c r="H4" s="5" t="s">
        <v>71</v>
      </c>
      <c r="I4" s="5" t="s">
        <v>72</v>
      </c>
      <c r="J4" s="5" t="s">
        <v>73</v>
      </c>
      <c r="K4" s="5" t="s">
        <v>74</v>
      </c>
      <c r="L4" s="5" t="s">
        <v>75</v>
      </c>
      <c r="M4" s="5" t="s">
        <v>76</v>
      </c>
      <c r="N4" s="5" t="s">
        <v>77</v>
      </c>
      <c r="O4" s="5" t="s">
        <v>78</v>
      </c>
      <c r="P4" s="5" t="s">
        <v>79</v>
      </c>
      <c r="Q4" s="5" t="s">
        <v>80</v>
      </c>
      <c r="R4" s="5" t="s">
        <v>81</v>
      </c>
      <c r="S4" s="5" t="s">
        <v>82</v>
      </c>
      <c r="T4" s="5" t="s">
        <v>83</v>
      </c>
      <c r="U4" s="5" t="s">
        <v>84</v>
      </c>
      <c r="V4" s="5" t="s">
        <v>85</v>
      </c>
      <c r="W4" s="5" t="s">
        <v>86</v>
      </c>
      <c r="X4" s="5" t="s">
        <v>87</v>
      </c>
      <c r="Y4" s="5" t="s">
        <v>88</v>
      </c>
      <c r="Z4" s="5" t="s">
        <v>89</v>
      </c>
      <c r="AA4" s="5" t="s">
        <v>90</v>
      </c>
      <c r="AB4" s="5" t="s">
        <v>91</v>
      </c>
      <c r="AC4" s="5" t="s">
        <v>92</v>
      </c>
      <c r="AD4" s="5" t="s">
        <v>93</v>
      </c>
      <c r="AE4" s="5" t="s">
        <v>94</v>
      </c>
      <c r="AF4" s="5" t="s">
        <v>95</v>
      </c>
      <c r="AG4" s="5" t="s">
        <v>96</v>
      </c>
      <c r="AH4" s="5" t="s">
        <v>97</v>
      </c>
      <c r="AI4" s="5" t="s">
        <v>98</v>
      </c>
      <c r="AJ4" s="5" t="s">
        <v>99</v>
      </c>
      <c r="AK4" s="5" t="s">
        <v>100</v>
      </c>
      <c r="AL4" s="5" t="s">
        <v>101</v>
      </c>
      <c r="AM4" s="5" t="s">
        <v>102</v>
      </c>
      <c r="AN4" s="5" t="s">
        <v>103</v>
      </c>
      <c r="AO4" s="5" t="s">
        <v>104</v>
      </c>
      <c r="AP4" s="5" t="s">
        <v>105</v>
      </c>
      <c r="AQ4" s="5" t="s">
        <v>106</v>
      </c>
      <c r="AR4" s="5" t="s">
        <v>107</v>
      </c>
      <c r="AS4" s="5" t="s">
        <v>108</v>
      </c>
      <c r="AT4" s="5" t="s">
        <v>109</v>
      </c>
      <c r="AU4" s="5" t="s">
        <v>110</v>
      </c>
      <c r="AV4" s="5" t="s">
        <v>111</v>
      </c>
      <c r="AW4" s="5" t="s">
        <v>112</v>
      </c>
      <c r="AX4" s="5" t="s">
        <v>113</v>
      </c>
      <c r="AY4" s="5" t="s">
        <v>114</v>
      </c>
      <c r="AZ4" s="5" t="s">
        <v>115</v>
      </c>
      <c r="BA4" s="5" t="s">
        <v>116</v>
      </c>
      <c r="BB4" s="5" t="s">
        <v>117</v>
      </c>
      <c r="BC4" s="5" t="s">
        <v>118</v>
      </c>
      <c r="BD4" s="5" t="s">
        <v>119</v>
      </c>
      <c r="BE4" s="5" t="s">
        <v>120</v>
      </c>
      <c r="BF4" s="5" t="s">
        <v>121</v>
      </c>
      <c r="BG4" s="5" t="s">
        <v>122</v>
      </c>
      <c r="BH4" s="5" t="s">
        <v>123</v>
      </c>
      <c r="BI4" s="5" t="s">
        <v>124</v>
      </c>
      <c r="BJ4" s="5" t="s">
        <v>125</v>
      </c>
      <c r="BK4" s="5" t="s">
        <v>126</v>
      </c>
      <c r="BL4" s="5" t="s">
        <v>127</v>
      </c>
      <c r="BM4" s="5" t="s">
        <v>128</v>
      </c>
      <c r="BN4" s="5" t="s">
        <v>129</v>
      </c>
      <c r="BO4" s="5" t="s">
        <v>130</v>
      </c>
      <c r="BP4" s="5" t="s">
        <v>130</v>
      </c>
      <c r="BQ4" s="5" t="s">
        <v>131</v>
      </c>
      <c r="BR4" s="5" t="s">
        <v>132</v>
      </c>
      <c r="BS4" s="5" t="s">
        <v>133</v>
      </c>
      <c r="BT4" s="5" t="s">
        <v>134</v>
      </c>
      <c r="BU4" s="5" t="s">
        <v>135</v>
      </c>
      <c r="BV4" s="5" t="s">
        <v>136</v>
      </c>
      <c r="BW4" s="5" t="s">
        <v>137</v>
      </c>
      <c r="BX4" s="5" t="s">
        <v>138</v>
      </c>
      <c r="BY4" s="5" t="s">
        <v>139</v>
      </c>
      <c r="BZ4" s="5" t="s">
        <v>140</v>
      </c>
      <c r="CA4" s="5" t="s">
        <v>141</v>
      </c>
      <c r="CB4" s="5" t="s">
        <v>142</v>
      </c>
      <c r="CC4" s="5" t="s">
        <v>143</v>
      </c>
      <c r="CD4" s="5" t="s">
        <v>144</v>
      </c>
      <c r="CE4" s="5" t="s">
        <v>145</v>
      </c>
      <c r="CF4" s="5" t="s">
        <v>146</v>
      </c>
      <c r="CG4" s="5" t="s">
        <v>147</v>
      </c>
      <c r="CH4" s="5" t="s">
        <v>148</v>
      </c>
      <c r="CI4" s="5" t="s">
        <v>149</v>
      </c>
      <c r="CJ4" s="5" t="s">
        <v>150</v>
      </c>
      <c r="CK4" s="5" t="s">
        <v>151</v>
      </c>
      <c r="CL4" s="5" t="s">
        <v>152</v>
      </c>
      <c r="CM4" s="5" t="s">
        <v>153</v>
      </c>
      <c r="CN4" s="5" t="s">
        <v>154</v>
      </c>
      <c r="CO4" s="5" t="s">
        <v>155</v>
      </c>
      <c r="CP4" s="5" t="s">
        <v>156</v>
      </c>
      <c r="CQ4" s="5" t="s">
        <v>157</v>
      </c>
      <c r="CR4" s="5" t="s">
        <v>158</v>
      </c>
      <c r="CS4" s="5" t="s">
        <v>159</v>
      </c>
      <c r="CT4" s="5" t="s">
        <v>160</v>
      </c>
      <c r="CU4" s="5" t="s">
        <v>161</v>
      </c>
      <c r="CV4" s="5" t="s">
        <v>162</v>
      </c>
      <c r="CW4" s="5" t="s">
        <v>163</v>
      </c>
      <c r="CX4" s="5" t="s">
        <v>164</v>
      </c>
      <c r="CY4" s="5" t="s">
        <v>165</v>
      </c>
      <c r="CZ4" s="5" t="s">
        <v>166</v>
      </c>
    </row>
    <row r="5" s="2" customFormat="1" customHeight="1" spans="2:104">
      <c r="B5" s="2">
        <v>2</v>
      </c>
      <c r="C5" s="3">
        <v>1</v>
      </c>
      <c r="D5" s="3" t="s">
        <v>26</v>
      </c>
      <c r="E5" s="3" t="s">
        <v>168</v>
      </c>
      <c r="F5" s="3" t="s">
        <v>168</v>
      </c>
      <c r="G5" s="3" t="s">
        <v>168</v>
      </c>
      <c r="H5" s="3" t="s">
        <v>168</v>
      </c>
      <c r="I5" s="3" t="s">
        <v>168</v>
      </c>
      <c r="J5" s="3" t="s">
        <v>168</v>
      </c>
      <c r="K5" s="3" t="s">
        <v>168</v>
      </c>
      <c r="L5" s="3" t="s">
        <v>168</v>
      </c>
      <c r="M5" s="3" t="s">
        <v>168</v>
      </c>
      <c r="N5" s="3" t="s">
        <v>168</v>
      </c>
      <c r="O5" s="3" t="s">
        <v>168</v>
      </c>
      <c r="P5" s="3" t="s">
        <v>168</v>
      </c>
      <c r="Q5" s="3" t="s">
        <v>168</v>
      </c>
      <c r="R5" s="3" t="s">
        <v>168</v>
      </c>
      <c r="S5" s="3" t="s">
        <v>168</v>
      </c>
      <c r="T5" s="3" t="s">
        <v>168</v>
      </c>
      <c r="U5" s="3" t="s">
        <v>168</v>
      </c>
      <c r="V5" s="3" t="s">
        <v>168</v>
      </c>
      <c r="W5" s="3" t="s">
        <v>168</v>
      </c>
      <c r="X5" s="3" t="s">
        <v>168</v>
      </c>
      <c r="Y5" s="3" t="s">
        <v>168</v>
      </c>
      <c r="Z5" s="3" t="s">
        <v>168</v>
      </c>
      <c r="AA5" s="3" t="s">
        <v>168</v>
      </c>
      <c r="AB5" s="3" t="s">
        <v>168</v>
      </c>
      <c r="AC5" s="3" t="s">
        <v>168</v>
      </c>
      <c r="AD5" s="3" t="s">
        <v>168</v>
      </c>
      <c r="AE5" s="3" t="s">
        <v>168</v>
      </c>
      <c r="AF5" s="3" t="s">
        <v>168</v>
      </c>
      <c r="AG5" s="3" t="s">
        <v>168</v>
      </c>
      <c r="AH5" s="3" t="s">
        <v>168</v>
      </c>
      <c r="AI5" s="3" t="s">
        <v>168</v>
      </c>
      <c r="AJ5" s="3" t="s">
        <v>168</v>
      </c>
      <c r="AK5" s="3" t="s">
        <v>168</v>
      </c>
      <c r="AL5" s="3" t="s">
        <v>168</v>
      </c>
      <c r="AM5" s="3" t="s">
        <v>168</v>
      </c>
      <c r="AN5" s="3" t="s">
        <v>168</v>
      </c>
      <c r="AO5" s="3" t="s">
        <v>168</v>
      </c>
      <c r="AP5" s="3" t="s">
        <v>168</v>
      </c>
      <c r="AQ5" s="3" t="s">
        <v>168</v>
      </c>
      <c r="AR5" s="3" t="s">
        <v>168</v>
      </c>
      <c r="AS5" s="3" t="s">
        <v>168</v>
      </c>
      <c r="AT5" s="3" t="s">
        <v>168</v>
      </c>
      <c r="AU5" s="3" t="s">
        <v>168</v>
      </c>
      <c r="AV5" s="3" t="s">
        <v>168</v>
      </c>
      <c r="AW5" s="3" t="s">
        <v>168</v>
      </c>
      <c r="AX5" s="3" t="s">
        <v>168</v>
      </c>
      <c r="AY5" s="3" t="s">
        <v>168</v>
      </c>
      <c r="AZ5" s="3" t="s">
        <v>168</v>
      </c>
      <c r="BA5" s="3" t="s">
        <v>168</v>
      </c>
      <c r="BB5" s="3" t="s">
        <v>168</v>
      </c>
      <c r="BC5" s="3" t="s">
        <v>168</v>
      </c>
      <c r="BD5" s="3" t="s">
        <v>168</v>
      </c>
      <c r="BE5" s="3" t="s">
        <v>168</v>
      </c>
      <c r="BF5" s="3" t="s">
        <v>168</v>
      </c>
      <c r="BG5" s="3" t="s">
        <v>168</v>
      </c>
      <c r="BH5" s="3" t="s">
        <v>168</v>
      </c>
      <c r="BI5" s="3" t="s">
        <v>168</v>
      </c>
      <c r="BJ5" s="3" t="s">
        <v>168</v>
      </c>
      <c r="BK5" s="3" t="s">
        <v>168</v>
      </c>
      <c r="BL5" s="3" t="s">
        <v>168</v>
      </c>
      <c r="BM5" s="3" t="s">
        <v>168</v>
      </c>
      <c r="BN5" s="3" t="s">
        <v>168</v>
      </c>
      <c r="BO5" s="3" t="s">
        <v>168</v>
      </c>
      <c r="BP5" s="3" t="s">
        <v>168</v>
      </c>
      <c r="BQ5" s="3" t="s">
        <v>168</v>
      </c>
      <c r="BR5" s="3" t="s">
        <v>168</v>
      </c>
      <c r="BS5" s="3" t="s">
        <v>168</v>
      </c>
      <c r="BT5" s="3" t="s">
        <v>168</v>
      </c>
      <c r="BU5" s="3" t="s">
        <v>168</v>
      </c>
      <c r="BV5" s="3" t="s">
        <v>168</v>
      </c>
      <c r="BW5" s="3" t="s">
        <v>168</v>
      </c>
      <c r="BX5" s="3" t="s">
        <v>168</v>
      </c>
      <c r="BY5" s="3" t="s">
        <v>168</v>
      </c>
      <c r="BZ5" s="3" t="s">
        <v>168</v>
      </c>
      <c r="CA5" s="3" t="s">
        <v>168</v>
      </c>
      <c r="CB5" s="3" t="s">
        <v>168</v>
      </c>
      <c r="CC5" s="3" t="s">
        <v>168</v>
      </c>
      <c r="CD5" s="3" t="s">
        <v>168</v>
      </c>
      <c r="CE5" s="3" t="s">
        <v>168</v>
      </c>
      <c r="CF5" s="3" t="s">
        <v>168</v>
      </c>
      <c r="CG5" s="3" t="s">
        <v>168</v>
      </c>
      <c r="CH5" s="3" t="s">
        <v>168</v>
      </c>
      <c r="CI5" s="3" t="s">
        <v>168</v>
      </c>
      <c r="CJ5" s="3" t="s">
        <v>168</v>
      </c>
      <c r="CK5" s="3" t="s">
        <v>168</v>
      </c>
      <c r="CL5" s="3" t="s">
        <v>168</v>
      </c>
      <c r="CM5" s="3" t="s">
        <v>168</v>
      </c>
      <c r="CN5" s="3" t="s">
        <v>168</v>
      </c>
      <c r="CO5" s="3" t="s">
        <v>168</v>
      </c>
      <c r="CP5" s="3" t="s">
        <v>168</v>
      </c>
      <c r="CQ5" s="3" t="s">
        <v>168</v>
      </c>
      <c r="CR5" s="3" t="s">
        <v>168</v>
      </c>
      <c r="CS5" s="3" t="s">
        <v>168</v>
      </c>
      <c r="CT5" s="3" t="s">
        <v>168</v>
      </c>
      <c r="CU5" s="3" t="s">
        <v>168</v>
      </c>
      <c r="CV5" s="3" t="s">
        <v>168</v>
      </c>
      <c r="CW5" s="3" t="s">
        <v>168</v>
      </c>
      <c r="CX5" s="3" t="s">
        <v>168</v>
      </c>
      <c r="CY5" s="3" t="s">
        <v>168</v>
      </c>
      <c r="CZ5" s="3" t="s">
        <v>168</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topLeftCell="A6" workbookViewId="0">
      <selection activeCell="U3" sqref="U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180</v>
      </c>
    </row>
    <row r="4" ht="18" spans="3:102">
      <c r="C4" s="5" t="s">
        <v>68</v>
      </c>
      <c r="D4" s="5" t="s">
        <v>69</v>
      </c>
      <c r="E4" s="5" t="s">
        <v>70</v>
      </c>
      <c r="F4" s="5" t="s">
        <v>71</v>
      </c>
      <c r="G4" s="5" t="s">
        <v>72</v>
      </c>
      <c r="H4" s="5" t="s">
        <v>73</v>
      </c>
      <c r="I4" s="5" t="s">
        <v>74</v>
      </c>
      <c r="J4" s="5" t="s">
        <v>75</v>
      </c>
      <c r="K4" s="5" t="s">
        <v>76</v>
      </c>
      <c r="L4" s="5" t="s">
        <v>77</v>
      </c>
      <c r="M4" s="5" t="s">
        <v>78</v>
      </c>
      <c r="N4" s="5" t="s">
        <v>79</v>
      </c>
      <c r="O4" s="5" t="s">
        <v>80</v>
      </c>
      <c r="P4" s="5" t="s">
        <v>81</v>
      </c>
      <c r="Q4" s="5" t="s">
        <v>82</v>
      </c>
      <c r="R4" s="5" t="s">
        <v>83</v>
      </c>
      <c r="S4" s="5" t="s">
        <v>84</v>
      </c>
      <c r="T4" s="5" t="s">
        <v>85</v>
      </c>
      <c r="U4" s="5" t="s">
        <v>86</v>
      </c>
      <c r="V4" s="5" t="s">
        <v>87</v>
      </c>
      <c r="W4" s="5" t="s">
        <v>88</v>
      </c>
      <c r="X4" s="5" t="s">
        <v>89</v>
      </c>
      <c r="Y4" s="5" t="s">
        <v>90</v>
      </c>
      <c r="Z4" s="5" t="s">
        <v>91</v>
      </c>
      <c r="AA4" s="5" t="s">
        <v>92</v>
      </c>
      <c r="AB4" s="5" t="s">
        <v>93</v>
      </c>
      <c r="AC4" s="5" t="s">
        <v>94</v>
      </c>
      <c r="AD4" s="5" t="s">
        <v>95</v>
      </c>
      <c r="AE4" s="5" t="s">
        <v>96</v>
      </c>
      <c r="AF4" s="5" t="s">
        <v>97</v>
      </c>
      <c r="AG4" s="5" t="s">
        <v>98</v>
      </c>
      <c r="AH4" s="5" t="s">
        <v>99</v>
      </c>
      <c r="AI4" s="5" t="s">
        <v>100</v>
      </c>
      <c r="AJ4" s="5" t="s">
        <v>101</v>
      </c>
      <c r="AK4" s="5" t="s">
        <v>102</v>
      </c>
      <c r="AL4" s="5" t="s">
        <v>103</v>
      </c>
      <c r="AM4" s="5" t="s">
        <v>104</v>
      </c>
      <c r="AN4" s="5" t="s">
        <v>105</v>
      </c>
      <c r="AO4" s="5" t="s">
        <v>106</v>
      </c>
      <c r="AP4" s="5" t="s">
        <v>107</v>
      </c>
      <c r="AQ4" s="5" t="s">
        <v>108</v>
      </c>
      <c r="AR4" s="5" t="s">
        <v>109</v>
      </c>
      <c r="AS4" s="5" t="s">
        <v>110</v>
      </c>
      <c r="AT4" s="5" t="s">
        <v>111</v>
      </c>
      <c r="AU4" s="5" t="s">
        <v>112</v>
      </c>
      <c r="AV4" s="5" t="s">
        <v>113</v>
      </c>
      <c r="AW4" s="5" t="s">
        <v>114</v>
      </c>
      <c r="AX4" s="5" t="s">
        <v>115</v>
      </c>
      <c r="AY4" s="5" t="s">
        <v>116</v>
      </c>
      <c r="AZ4" s="5" t="s">
        <v>117</v>
      </c>
      <c r="BA4" s="5" t="s">
        <v>118</v>
      </c>
      <c r="BB4" s="5" t="s">
        <v>119</v>
      </c>
      <c r="BC4" s="5" t="s">
        <v>120</v>
      </c>
      <c r="BD4" s="5" t="s">
        <v>121</v>
      </c>
      <c r="BE4" s="5" t="s">
        <v>122</v>
      </c>
      <c r="BF4" s="5" t="s">
        <v>123</v>
      </c>
      <c r="BG4" s="5" t="s">
        <v>124</v>
      </c>
      <c r="BH4" s="5" t="s">
        <v>125</v>
      </c>
      <c r="BI4" s="5" t="s">
        <v>126</v>
      </c>
      <c r="BJ4" s="5" t="s">
        <v>127</v>
      </c>
      <c r="BK4" s="5" t="s">
        <v>128</v>
      </c>
      <c r="BL4" s="5" t="s">
        <v>129</v>
      </c>
      <c r="BM4" s="5" t="s">
        <v>130</v>
      </c>
      <c r="BN4" s="5" t="s">
        <v>130</v>
      </c>
      <c r="BO4" s="5" t="s">
        <v>131</v>
      </c>
      <c r="BP4" s="5" t="s">
        <v>132</v>
      </c>
      <c r="BQ4" s="5" t="s">
        <v>133</v>
      </c>
      <c r="BR4" s="5" t="s">
        <v>134</v>
      </c>
      <c r="BS4" s="5" t="s">
        <v>135</v>
      </c>
      <c r="BT4" s="5" t="s">
        <v>136</v>
      </c>
      <c r="BU4" s="5" t="s">
        <v>137</v>
      </c>
      <c r="BV4" s="5" t="s">
        <v>138</v>
      </c>
      <c r="BW4" s="5" t="s">
        <v>139</v>
      </c>
      <c r="BX4" s="5" t="s">
        <v>140</v>
      </c>
      <c r="BY4" s="5" t="s">
        <v>141</v>
      </c>
      <c r="BZ4" s="5" t="s">
        <v>142</v>
      </c>
      <c r="CA4" s="5" t="s">
        <v>143</v>
      </c>
      <c r="CB4" s="5" t="s">
        <v>144</v>
      </c>
      <c r="CC4" s="5" t="s">
        <v>145</v>
      </c>
      <c r="CD4" s="5" t="s">
        <v>146</v>
      </c>
      <c r="CE4" s="5" t="s">
        <v>147</v>
      </c>
      <c r="CF4" s="5" t="s">
        <v>148</v>
      </c>
      <c r="CG4" s="5" t="s">
        <v>149</v>
      </c>
      <c r="CH4" s="5" t="s">
        <v>150</v>
      </c>
      <c r="CI4" s="5" t="s">
        <v>151</v>
      </c>
      <c r="CJ4" s="5" t="s">
        <v>152</v>
      </c>
      <c r="CK4" s="5" t="s">
        <v>153</v>
      </c>
      <c r="CL4" s="5" t="s">
        <v>154</v>
      </c>
      <c r="CM4" s="5" t="s">
        <v>155</v>
      </c>
      <c r="CN4" s="5" t="s">
        <v>156</v>
      </c>
      <c r="CO4" s="5" t="s">
        <v>157</v>
      </c>
      <c r="CP4" s="5" t="s">
        <v>158</v>
      </c>
      <c r="CQ4" s="5" t="s">
        <v>159</v>
      </c>
      <c r="CR4" s="5" t="s">
        <v>160</v>
      </c>
      <c r="CS4" s="5" t="s">
        <v>161</v>
      </c>
      <c r="CT4" s="5" t="s">
        <v>162</v>
      </c>
      <c r="CU4" s="5" t="s">
        <v>163</v>
      </c>
      <c r="CV4" s="5" t="s">
        <v>164</v>
      </c>
      <c r="CW4" s="5" t="s">
        <v>165</v>
      </c>
      <c r="CX4" s="5" t="s">
        <v>166</v>
      </c>
    </row>
    <row r="5" spans="3:102">
      <c r="C5" s="8">
        <v>29</v>
      </c>
      <c r="D5" s="8">
        <v>52</v>
      </c>
      <c r="E5" s="8">
        <v>42</v>
      </c>
      <c r="F5" s="8">
        <v>24</v>
      </c>
      <c r="G5" s="8">
        <v>23</v>
      </c>
      <c r="H5" s="8">
        <v>17</v>
      </c>
      <c r="I5" s="8">
        <v>10</v>
      </c>
      <c r="J5" s="8">
        <v>7</v>
      </c>
      <c r="K5" s="8">
        <v>3</v>
      </c>
      <c r="L5" s="8">
        <v>1</v>
      </c>
      <c r="M5" s="8">
        <v>3</v>
      </c>
      <c r="N5" s="8">
        <v>0</v>
      </c>
      <c r="O5" s="8">
        <v>0</v>
      </c>
      <c r="P5" s="8">
        <v>1</v>
      </c>
      <c r="Q5" s="8">
        <v>0</v>
      </c>
      <c r="R5" s="8">
        <v>1</v>
      </c>
      <c r="S5" s="8">
        <v>0</v>
      </c>
      <c r="T5" s="8">
        <v>0</v>
      </c>
      <c r="U5" s="8">
        <v>0</v>
      </c>
      <c r="V5" s="8">
        <v>0</v>
      </c>
      <c r="W5" s="8">
        <v>1</v>
      </c>
      <c r="X5" s="8">
        <v>0</v>
      </c>
      <c r="Y5" s="8">
        <v>0</v>
      </c>
      <c r="Z5" s="8">
        <v>0</v>
      </c>
      <c r="AA5" s="8">
        <v>0</v>
      </c>
      <c r="AB5" s="8">
        <v>0</v>
      </c>
      <c r="AC5" s="8">
        <v>0</v>
      </c>
      <c r="AD5" s="8">
        <v>0</v>
      </c>
      <c r="AE5" s="8">
        <v>2</v>
      </c>
      <c r="AF5" s="8">
        <v>1</v>
      </c>
      <c r="AG5" s="8">
        <v>0</v>
      </c>
      <c r="AH5" s="8">
        <v>0</v>
      </c>
      <c r="AI5" s="8">
        <v>0</v>
      </c>
      <c r="AJ5" s="8">
        <v>0</v>
      </c>
      <c r="AK5" s="8">
        <v>0</v>
      </c>
      <c r="AL5" s="8">
        <v>0</v>
      </c>
      <c r="AM5" s="8">
        <v>1</v>
      </c>
      <c r="AN5" s="8">
        <v>0</v>
      </c>
      <c r="AO5" s="8">
        <v>0</v>
      </c>
      <c r="AP5" s="8">
        <v>0</v>
      </c>
      <c r="AQ5" s="8">
        <v>0</v>
      </c>
      <c r="AR5" s="8">
        <v>0</v>
      </c>
      <c r="AS5" s="8">
        <v>0</v>
      </c>
      <c r="AT5" s="8">
        <v>0</v>
      </c>
      <c r="AU5" s="8">
        <v>1</v>
      </c>
      <c r="AV5" s="8">
        <v>0</v>
      </c>
      <c r="AW5" s="8">
        <v>0</v>
      </c>
      <c r="AX5" s="8">
        <v>0</v>
      </c>
      <c r="AY5" s="8">
        <v>0</v>
      </c>
      <c r="AZ5" s="8">
        <v>0</v>
      </c>
      <c r="BA5" s="8">
        <v>0</v>
      </c>
      <c r="BB5" s="8">
        <v>0</v>
      </c>
      <c r="BC5" s="8">
        <v>0</v>
      </c>
      <c r="BD5" s="8">
        <v>1</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1</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1</v>
      </c>
      <c r="CU5" s="8">
        <v>0</v>
      </c>
      <c r="CV5" s="8">
        <v>0</v>
      </c>
      <c r="CW5" s="8">
        <v>33</v>
      </c>
      <c r="CX5" s="8">
        <v>12</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T1" sqref="T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181</v>
      </c>
    </row>
    <row r="4" s="7" customFormat="1" ht="18" spans="3:102">
      <c r="C4" s="5" t="s">
        <v>68</v>
      </c>
      <c r="D4" s="5" t="s">
        <v>69</v>
      </c>
      <c r="E4" s="5" t="s">
        <v>70</v>
      </c>
      <c r="F4" s="5" t="s">
        <v>71</v>
      </c>
      <c r="G4" s="5" t="s">
        <v>72</v>
      </c>
      <c r="H4" s="5" t="s">
        <v>73</v>
      </c>
      <c r="I4" s="5" t="s">
        <v>74</v>
      </c>
      <c r="J4" s="5" t="s">
        <v>75</v>
      </c>
      <c r="K4" s="5" t="s">
        <v>76</v>
      </c>
      <c r="L4" s="5" t="s">
        <v>77</v>
      </c>
      <c r="M4" s="5" t="s">
        <v>78</v>
      </c>
      <c r="N4" s="5" t="s">
        <v>79</v>
      </c>
      <c r="O4" s="5" t="s">
        <v>80</v>
      </c>
      <c r="P4" s="5" t="s">
        <v>81</v>
      </c>
      <c r="Q4" s="5" t="s">
        <v>82</v>
      </c>
      <c r="R4" s="5" t="s">
        <v>83</v>
      </c>
      <c r="S4" s="5" t="s">
        <v>84</v>
      </c>
      <c r="T4" s="5" t="s">
        <v>85</v>
      </c>
      <c r="U4" s="5" t="s">
        <v>86</v>
      </c>
      <c r="V4" s="5" t="s">
        <v>87</v>
      </c>
      <c r="W4" s="5" t="s">
        <v>88</v>
      </c>
      <c r="X4" s="5" t="s">
        <v>89</v>
      </c>
      <c r="Y4" s="5" t="s">
        <v>90</v>
      </c>
      <c r="Z4" s="5" t="s">
        <v>91</v>
      </c>
      <c r="AA4" s="5" t="s">
        <v>92</v>
      </c>
      <c r="AB4" s="5" t="s">
        <v>93</v>
      </c>
      <c r="AC4" s="5" t="s">
        <v>94</v>
      </c>
      <c r="AD4" s="5" t="s">
        <v>95</v>
      </c>
      <c r="AE4" s="5" t="s">
        <v>96</v>
      </c>
      <c r="AF4" s="5" t="s">
        <v>97</v>
      </c>
      <c r="AG4" s="5" t="s">
        <v>98</v>
      </c>
      <c r="AH4" s="5" t="s">
        <v>99</v>
      </c>
      <c r="AI4" s="5" t="s">
        <v>100</v>
      </c>
      <c r="AJ4" s="5" t="s">
        <v>101</v>
      </c>
      <c r="AK4" s="5" t="s">
        <v>102</v>
      </c>
      <c r="AL4" s="5" t="s">
        <v>103</v>
      </c>
      <c r="AM4" s="5" t="s">
        <v>104</v>
      </c>
      <c r="AN4" s="5" t="s">
        <v>105</v>
      </c>
      <c r="AO4" s="5" t="s">
        <v>106</v>
      </c>
      <c r="AP4" s="5" t="s">
        <v>107</v>
      </c>
      <c r="AQ4" s="5" t="s">
        <v>108</v>
      </c>
      <c r="AR4" s="5" t="s">
        <v>109</v>
      </c>
      <c r="AS4" s="5" t="s">
        <v>110</v>
      </c>
      <c r="AT4" s="5" t="s">
        <v>111</v>
      </c>
      <c r="AU4" s="5" t="s">
        <v>112</v>
      </c>
      <c r="AV4" s="5" t="s">
        <v>113</v>
      </c>
      <c r="AW4" s="5" t="s">
        <v>114</v>
      </c>
      <c r="AX4" s="5" t="s">
        <v>115</v>
      </c>
      <c r="AY4" s="5" t="s">
        <v>116</v>
      </c>
      <c r="AZ4" s="5" t="s">
        <v>117</v>
      </c>
      <c r="BA4" s="5" t="s">
        <v>118</v>
      </c>
      <c r="BB4" s="5" t="s">
        <v>119</v>
      </c>
      <c r="BC4" s="5" t="s">
        <v>120</v>
      </c>
      <c r="BD4" s="5" t="s">
        <v>121</v>
      </c>
      <c r="BE4" s="5" t="s">
        <v>122</v>
      </c>
      <c r="BF4" s="5" t="s">
        <v>123</v>
      </c>
      <c r="BG4" s="5" t="s">
        <v>124</v>
      </c>
      <c r="BH4" s="5" t="s">
        <v>125</v>
      </c>
      <c r="BI4" s="5" t="s">
        <v>126</v>
      </c>
      <c r="BJ4" s="5" t="s">
        <v>127</v>
      </c>
      <c r="BK4" s="5" t="s">
        <v>128</v>
      </c>
      <c r="BL4" s="5" t="s">
        <v>129</v>
      </c>
      <c r="BM4" s="5" t="s">
        <v>130</v>
      </c>
      <c r="BN4" s="5" t="s">
        <v>130</v>
      </c>
      <c r="BO4" s="5" t="s">
        <v>131</v>
      </c>
      <c r="BP4" s="5" t="s">
        <v>132</v>
      </c>
      <c r="BQ4" s="5" t="s">
        <v>133</v>
      </c>
      <c r="BR4" s="5" t="s">
        <v>134</v>
      </c>
      <c r="BS4" s="5" t="s">
        <v>135</v>
      </c>
      <c r="BT4" s="5" t="s">
        <v>136</v>
      </c>
      <c r="BU4" s="5" t="s">
        <v>137</v>
      </c>
      <c r="BV4" s="5" t="s">
        <v>138</v>
      </c>
      <c r="BW4" s="5" t="s">
        <v>139</v>
      </c>
      <c r="BX4" s="5" t="s">
        <v>140</v>
      </c>
      <c r="BY4" s="5" t="s">
        <v>141</v>
      </c>
      <c r="BZ4" s="5" t="s">
        <v>142</v>
      </c>
      <c r="CA4" s="5" t="s">
        <v>143</v>
      </c>
      <c r="CB4" s="5" t="s">
        <v>144</v>
      </c>
      <c r="CC4" s="5" t="s">
        <v>145</v>
      </c>
      <c r="CD4" s="5" t="s">
        <v>146</v>
      </c>
      <c r="CE4" s="5" t="s">
        <v>147</v>
      </c>
      <c r="CF4" s="5" t="s">
        <v>148</v>
      </c>
      <c r="CG4" s="5" t="s">
        <v>149</v>
      </c>
      <c r="CH4" s="5" t="s">
        <v>150</v>
      </c>
      <c r="CI4" s="5" t="s">
        <v>151</v>
      </c>
      <c r="CJ4" s="5" t="s">
        <v>152</v>
      </c>
      <c r="CK4" s="5" t="s">
        <v>153</v>
      </c>
      <c r="CL4" s="5" t="s">
        <v>154</v>
      </c>
      <c r="CM4" s="5" t="s">
        <v>155</v>
      </c>
      <c r="CN4" s="5" t="s">
        <v>156</v>
      </c>
      <c r="CO4" s="5" t="s">
        <v>157</v>
      </c>
      <c r="CP4" s="5" t="s">
        <v>158</v>
      </c>
      <c r="CQ4" s="5" t="s">
        <v>159</v>
      </c>
      <c r="CR4" s="5" t="s">
        <v>160</v>
      </c>
      <c r="CS4" s="5" t="s">
        <v>161</v>
      </c>
      <c r="CT4" s="5" t="s">
        <v>162</v>
      </c>
      <c r="CU4" s="5" t="s">
        <v>163</v>
      </c>
      <c r="CV4" s="5" t="s">
        <v>164</v>
      </c>
      <c r="CW4" s="5" t="s">
        <v>165</v>
      </c>
      <c r="CX4" s="5" t="s">
        <v>166</v>
      </c>
    </row>
    <row r="5" s="7" customFormat="1" spans="3:102">
      <c r="C5" s="8">
        <v>24</v>
      </c>
      <c r="D5" s="8">
        <v>42</v>
      </c>
      <c r="E5" s="8">
        <v>34</v>
      </c>
      <c r="F5" s="8">
        <v>17</v>
      </c>
      <c r="G5" s="8">
        <v>17</v>
      </c>
      <c r="H5" s="8">
        <v>13</v>
      </c>
      <c r="I5" s="8">
        <v>7</v>
      </c>
      <c r="J5" s="8">
        <v>5</v>
      </c>
      <c r="K5" s="8">
        <v>1</v>
      </c>
      <c r="L5" s="8">
        <v>0</v>
      </c>
      <c r="M5" s="8">
        <v>1</v>
      </c>
      <c r="N5" s="8">
        <v>0</v>
      </c>
      <c r="O5" s="8">
        <v>0</v>
      </c>
      <c r="P5" s="8">
        <v>1</v>
      </c>
      <c r="Q5" s="8">
        <v>0</v>
      </c>
      <c r="R5" s="8">
        <v>1</v>
      </c>
      <c r="S5" s="8">
        <v>0</v>
      </c>
      <c r="T5" s="8">
        <v>0</v>
      </c>
      <c r="U5" s="8">
        <v>0</v>
      </c>
      <c r="V5" s="8">
        <v>0</v>
      </c>
      <c r="W5" s="8">
        <v>0</v>
      </c>
      <c r="X5" s="8">
        <v>0</v>
      </c>
      <c r="Y5" s="8">
        <v>0</v>
      </c>
      <c r="Z5" s="8">
        <v>0</v>
      </c>
      <c r="AA5" s="8">
        <v>0</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D9" sqref="D9"/>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182</v>
      </c>
    </row>
    <row r="4" s="1" customFormat="1" ht="30" customHeight="1" spans="3:5">
      <c r="C4" s="5" t="s">
        <v>42</v>
      </c>
      <c r="D4" s="5" t="s">
        <v>183</v>
      </c>
      <c r="E4" s="5" t="s">
        <v>184</v>
      </c>
    </row>
    <row r="5" s="2" customFormat="1" customHeight="1" spans="2:5">
      <c r="B5" s="2">
        <v>1</v>
      </c>
      <c r="C5" s="3">
        <v>1</v>
      </c>
      <c r="D5" s="3" t="s">
        <v>68</v>
      </c>
      <c r="E5" s="3" t="s">
        <v>185</v>
      </c>
    </row>
    <row r="6" s="2" customFormat="1" customHeight="1" spans="2:5">
      <c r="B6" s="2">
        <v>4</v>
      </c>
      <c r="C6" s="3">
        <v>2</v>
      </c>
      <c r="D6" s="3" t="s">
        <v>72</v>
      </c>
      <c r="E6" s="3" t="s">
        <v>186</v>
      </c>
    </row>
    <row r="7" s="2" customFormat="1" customHeight="1" spans="3:5">
      <c r="C7" s="3"/>
      <c r="D7" s="3"/>
      <c r="E7" s="3"/>
    </row>
    <row r="8" s="2" customFormat="1" customHeight="1" spans="3:5">
      <c r="C8" s="3"/>
      <c r="D8" s="3"/>
      <c r="E8" s="3"/>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G5" sqref="G5"/>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187</v>
      </c>
    </row>
    <row r="4" s="1" customFormat="1" ht="30" customHeight="1" spans="3:106">
      <c r="C4" s="5" t="s">
        <v>42</v>
      </c>
      <c r="D4" s="5" t="s">
        <v>188</v>
      </c>
      <c r="E4" s="5" t="s">
        <v>189</v>
      </c>
      <c r="F4" s="5" t="s">
        <v>190</v>
      </c>
      <c r="G4" s="5" t="s">
        <v>68</v>
      </c>
      <c r="H4" s="5" t="s">
        <v>69</v>
      </c>
      <c r="I4" s="5" t="s">
        <v>70</v>
      </c>
      <c r="J4" s="5" t="s">
        <v>71</v>
      </c>
      <c r="K4" s="5" t="s">
        <v>72</v>
      </c>
      <c r="L4" s="5" t="s">
        <v>73</v>
      </c>
      <c r="M4" s="5" t="s">
        <v>74</v>
      </c>
      <c r="N4" s="5" t="s">
        <v>75</v>
      </c>
      <c r="O4" s="5" t="s">
        <v>76</v>
      </c>
      <c r="P4" s="5" t="s">
        <v>77</v>
      </c>
      <c r="Q4" s="5" t="s">
        <v>78</v>
      </c>
      <c r="R4" s="5" t="s">
        <v>79</v>
      </c>
      <c r="S4" s="5" t="s">
        <v>80</v>
      </c>
      <c r="T4" s="5" t="s">
        <v>81</v>
      </c>
      <c r="U4" s="5" t="s">
        <v>82</v>
      </c>
      <c r="V4" s="5" t="s">
        <v>83</v>
      </c>
      <c r="W4" s="5" t="s">
        <v>84</v>
      </c>
      <c r="X4" s="5" t="s">
        <v>85</v>
      </c>
      <c r="Y4" s="5" t="s">
        <v>86</v>
      </c>
      <c r="Z4" s="5" t="s">
        <v>87</v>
      </c>
      <c r="AA4" s="5" t="s">
        <v>88</v>
      </c>
      <c r="AB4" s="5" t="s">
        <v>89</v>
      </c>
      <c r="AC4" s="5" t="s">
        <v>90</v>
      </c>
      <c r="AD4" s="5" t="s">
        <v>91</v>
      </c>
      <c r="AE4" s="5" t="s">
        <v>92</v>
      </c>
      <c r="AF4" s="5" t="s">
        <v>93</v>
      </c>
      <c r="AG4" s="5" t="s">
        <v>94</v>
      </c>
      <c r="AH4" s="5" t="s">
        <v>95</v>
      </c>
      <c r="AI4" s="5" t="s">
        <v>96</v>
      </c>
      <c r="AJ4" s="5" t="s">
        <v>97</v>
      </c>
      <c r="AK4" s="5" t="s">
        <v>98</v>
      </c>
      <c r="AL4" s="5" t="s">
        <v>99</v>
      </c>
      <c r="AM4" s="5" t="s">
        <v>100</v>
      </c>
      <c r="AN4" s="5" t="s">
        <v>101</v>
      </c>
      <c r="AO4" s="5" t="s">
        <v>102</v>
      </c>
      <c r="AP4" s="5" t="s">
        <v>103</v>
      </c>
      <c r="AQ4" s="5" t="s">
        <v>104</v>
      </c>
      <c r="AR4" s="5" t="s">
        <v>105</v>
      </c>
      <c r="AS4" s="5" t="s">
        <v>106</v>
      </c>
      <c r="AT4" s="5" t="s">
        <v>107</v>
      </c>
      <c r="AU4" s="5" t="s">
        <v>108</v>
      </c>
      <c r="AV4" s="5" t="s">
        <v>109</v>
      </c>
      <c r="AW4" s="5" t="s">
        <v>110</v>
      </c>
      <c r="AX4" s="5" t="s">
        <v>111</v>
      </c>
      <c r="AY4" s="5" t="s">
        <v>112</v>
      </c>
      <c r="AZ4" s="5" t="s">
        <v>113</v>
      </c>
      <c r="BA4" s="5" t="s">
        <v>114</v>
      </c>
      <c r="BB4" s="5" t="s">
        <v>115</v>
      </c>
      <c r="BC4" s="5" t="s">
        <v>116</v>
      </c>
      <c r="BD4" s="5" t="s">
        <v>117</v>
      </c>
      <c r="BE4" s="5" t="s">
        <v>118</v>
      </c>
      <c r="BF4" s="5" t="s">
        <v>119</v>
      </c>
      <c r="BG4" s="5" t="s">
        <v>120</v>
      </c>
      <c r="BH4" s="5" t="s">
        <v>121</v>
      </c>
      <c r="BI4" s="5" t="s">
        <v>122</v>
      </c>
      <c r="BJ4" s="5" t="s">
        <v>123</v>
      </c>
      <c r="BK4" s="5" t="s">
        <v>124</v>
      </c>
      <c r="BL4" s="5" t="s">
        <v>125</v>
      </c>
      <c r="BM4" s="5" t="s">
        <v>126</v>
      </c>
      <c r="BN4" s="5" t="s">
        <v>127</v>
      </c>
      <c r="BO4" s="5" t="s">
        <v>128</v>
      </c>
      <c r="BP4" s="5" t="s">
        <v>129</v>
      </c>
      <c r="BQ4" s="5" t="s">
        <v>130</v>
      </c>
      <c r="BR4" s="5" t="s">
        <v>130</v>
      </c>
      <c r="BS4" s="5" t="s">
        <v>131</v>
      </c>
      <c r="BT4" s="5" t="s">
        <v>132</v>
      </c>
      <c r="BU4" s="5" t="s">
        <v>133</v>
      </c>
      <c r="BV4" s="5" t="s">
        <v>134</v>
      </c>
      <c r="BW4" s="5" t="s">
        <v>135</v>
      </c>
      <c r="BX4" s="5" t="s">
        <v>136</v>
      </c>
      <c r="BY4" s="5" t="s">
        <v>137</v>
      </c>
      <c r="BZ4" s="5" t="s">
        <v>138</v>
      </c>
      <c r="CA4" s="5" t="s">
        <v>139</v>
      </c>
      <c r="CB4" s="5" t="s">
        <v>140</v>
      </c>
      <c r="CC4" s="5" t="s">
        <v>141</v>
      </c>
      <c r="CD4" s="5" t="s">
        <v>142</v>
      </c>
      <c r="CE4" s="5" t="s">
        <v>143</v>
      </c>
      <c r="CF4" s="5" t="s">
        <v>144</v>
      </c>
      <c r="CG4" s="5" t="s">
        <v>145</v>
      </c>
      <c r="CH4" s="5" t="s">
        <v>146</v>
      </c>
      <c r="CI4" s="5" t="s">
        <v>147</v>
      </c>
      <c r="CJ4" s="5" t="s">
        <v>148</v>
      </c>
      <c r="CK4" s="5" t="s">
        <v>149</v>
      </c>
      <c r="CL4" s="5" t="s">
        <v>150</v>
      </c>
      <c r="CM4" s="5" t="s">
        <v>151</v>
      </c>
      <c r="CN4" s="5" t="s">
        <v>152</v>
      </c>
      <c r="CO4" s="5" t="s">
        <v>153</v>
      </c>
      <c r="CP4" s="5" t="s">
        <v>154</v>
      </c>
      <c r="CQ4" s="5" t="s">
        <v>155</v>
      </c>
      <c r="CR4" s="5" t="s">
        <v>156</v>
      </c>
      <c r="CS4" s="5" t="s">
        <v>157</v>
      </c>
      <c r="CT4" s="5" t="s">
        <v>158</v>
      </c>
      <c r="CU4" s="5" t="s">
        <v>159</v>
      </c>
      <c r="CV4" s="5" t="s">
        <v>160</v>
      </c>
      <c r="CW4" s="5" t="s">
        <v>161</v>
      </c>
      <c r="CX4" s="5" t="s">
        <v>162</v>
      </c>
      <c r="CY4" s="5" t="s">
        <v>163</v>
      </c>
      <c r="CZ4" s="5" t="s">
        <v>164</v>
      </c>
      <c r="DA4" s="5" t="s">
        <v>165</v>
      </c>
      <c r="DB4" s="5" t="s">
        <v>166</v>
      </c>
    </row>
    <row r="5" s="2" customFormat="1" customHeight="1" spans="2:106">
      <c r="B5" s="2">
        <v>2603</v>
      </c>
      <c r="C5" s="3">
        <v>1</v>
      </c>
      <c r="D5" s="3" t="s">
        <v>191</v>
      </c>
      <c r="E5" s="6">
        <v>44782</v>
      </c>
      <c r="F5" s="6">
        <v>44800</v>
      </c>
      <c r="G5" s="3">
        <f>H5*I5/J5*H5*1.25</f>
        <v>3.75</v>
      </c>
      <c r="H5" s="3">
        <v>2</v>
      </c>
      <c r="I5" s="3">
        <v>3</v>
      </c>
      <c r="J5" s="3">
        <v>4</v>
      </c>
      <c r="K5" s="3">
        <f t="shared" ref="K5:K68" si="0">G5*2</f>
        <v>7.5</v>
      </c>
      <c r="L5" s="3">
        <v>123</v>
      </c>
      <c r="M5" s="3">
        <v>2344555</v>
      </c>
      <c r="N5" s="3" t="s">
        <v>192</v>
      </c>
      <c r="O5" s="3">
        <v>123</v>
      </c>
      <c r="P5" s="3"/>
      <c r="Q5" s="3"/>
      <c r="R5" s="3"/>
      <c r="S5" s="3"/>
      <c r="T5" s="3"/>
      <c r="U5" s="3"/>
      <c r="V5" s="3"/>
      <c r="W5" s="3"/>
      <c r="X5" s="3"/>
      <c r="Y5" s="3"/>
      <c r="Z5" s="3"/>
      <c r="AA5" s="3" t="s">
        <v>193</v>
      </c>
      <c r="AB5" s="3"/>
      <c r="AC5" s="3"/>
      <c r="AD5" s="3"/>
      <c r="AE5" s="3"/>
      <c r="AF5" s="3"/>
      <c r="AG5" s="3"/>
      <c r="AH5" s="3"/>
      <c r="AI5" s="3"/>
      <c r="AJ5" s="3" t="s">
        <v>194</v>
      </c>
      <c r="AK5" s="3"/>
      <c r="AL5" s="3"/>
      <c r="AM5" s="3"/>
      <c r="AN5" s="3"/>
      <c r="AO5" s="3"/>
      <c r="AP5" s="3"/>
      <c r="AQ5" s="3">
        <v>123</v>
      </c>
      <c r="AR5" s="3"/>
      <c r="AS5" s="3"/>
      <c r="AT5" s="3"/>
      <c r="AU5" s="3"/>
      <c r="AV5" s="3"/>
      <c r="AW5" s="3"/>
      <c r="AX5" s="3"/>
      <c r="AY5" s="3" t="s">
        <v>195</v>
      </c>
      <c r="AZ5" s="3"/>
      <c r="BA5" s="3"/>
      <c r="BB5" s="3"/>
      <c r="BC5" s="3"/>
      <c r="BD5" s="3"/>
      <c r="BE5" s="3"/>
      <c r="BF5" s="3"/>
      <c r="BG5" s="3"/>
      <c r="BH5" s="3" t="s">
        <v>196</v>
      </c>
      <c r="BI5" s="3"/>
      <c r="BJ5" s="3"/>
      <c r="BK5" s="3"/>
      <c r="BL5" s="3"/>
      <c r="BM5" s="3"/>
      <c r="BN5" s="3"/>
      <c r="BO5" s="3"/>
      <c r="BP5" s="3"/>
      <c r="BQ5" s="3"/>
      <c r="BR5" s="3"/>
      <c r="BS5" s="3"/>
      <c r="BT5" s="3"/>
      <c r="BU5" s="3"/>
      <c r="BV5" s="3"/>
      <c r="BW5" s="3"/>
      <c r="BX5" s="3"/>
      <c r="BY5" s="3"/>
      <c r="BZ5" s="3"/>
      <c r="CA5" s="3"/>
      <c r="CB5" s="3"/>
      <c r="CC5" s="3">
        <v>234</v>
      </c>
      <c r="CD5" s="3"/>
      <c r="CE5" s="3"/>
      <c r="CF5" s="3"/>
      <c r="CG5" s="3"/>
      <c r="CH5" s="3"/>
      <c r="CI5" s="3"/>
      <c r="CJ5" s="3"/>
      <c r="CK5" s="3"/>
      <c r="CL5" s="3"/>
      <c r="CM5" s="3"/>
      <c r="CN5" s="3"/>
      <c r="CO5" s="3"/>
      <c r="CP5" s="3"/>
      <c r="CQ5" s="3"/>
      <c r="CR5" s="3"/>
      <c r="CS5" s="3"/>
      <c r="CT5" s="3"/>
      <c r="CU5" s="3"/>
      <c r="CV5" s="3"/>
      <c r="CW5" s="3"/>
      <c r="CX5" s="3">
        <v>11</v>
      </c>
      <c r="CY5" s="3"/>
      <c r="CZ5" s="3"/>
      <c r="DA5" s="3">
        <v>123</v>
      </c>
      <c r="DB5" s="3" t="s">
        <v>197</v>
      </c>
    </row>
    <row r="6" s="2" customFormat="1" customHeight="1" spans="2:106">
      <c r="B6" s="2">
        <v>2604</v>
      </c>
      <c r="C6" s="3">
        <v>2</v>
      </c>
      <c r="D6" s="3" t="s">
        <v>51</v>
      </c>
      <c r="E6" s="6">
        <v>44659</v>
      </c>
      <c r="F6" s="6">
        <v>44797</v>
      </c>
      <c r="G6" s="3"/>
      <c r="H6" s="3" t="s">
        <v>198</v>
      </c>
      <c r="I6" s="3" t="s">
        <v>168</v>
      </c>
      <c r="J6" s="3" t="s">
        <v>168</v>
      </c>
      <c r="K6" s="3">
        <f t="shared" si="0"/>
        <v>0</v>
      </c>
      <c r="L6" s="3" t="s">
        <v>168</v>
      </c>
      <c r="M6" s="3">
        <v>234</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t="s">
        <v>199</v>
      </c>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v>123</v>
      </c>
      <c r="DB6" s="3"/>
    </row>
    <row r="7" s="2" customFormat="1" customHeight="1" spans="2:106">
      <c r="B7" s="2">
        <v>2605</v>
      </c>
      <c r="C7" s="3">
        <v>3</v>
      </c>
      <c r="D7" s="3" t="s">
        <v>51</v>
      </c>
      <c r="E7" s="6">
        <v>44341</v>
      </c>
      <c r="F7" s="6">
        <v>44797</v>
      </c>
      <c r="G7" s="3">
        <f>H7*I7/J7*H7*1.25</f>
        <v>11927585185.2823</v>
      </c>
      <c r="H7" s="3">
        <v>1123</v>
      </c>
      <c r="I7" s="3">
        <v>234555</v>
      </c>
      <c r="J7" s="3">
        <v>31</v>
      </c>
      <c r="K7" s="3">
        <f t="shared" si="0"/>
        <v>23855170370.5645</v>
      </c>
      <c r="L7" s="3" t="s">
        <v>200</v>
      </c>
      <c r="M7" s="3" t="s">
        <v>201</v>
      </c>
      <c r="N7" s="3">
        <v>11</v>
      </c>
      <c r="O7" s="3"/>
      <c r="P7" s="3"/>
      <c r="Q7" s="3"/>
      <c r="R7" s="3"/>
      <c r="S7" s="3"/>
      <c r="T7" s="3" t="s">
        <v>202</v>
      </c>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199</v>
      </c>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v>123</v>
      </c>
      <c r="DB7" s="3"/>
    </row>
    <row r="8" s="2" customFormat="1" customHeight="1" spans="2:106">
      <c r="B8" s="2">
        <v>2606</v>
      </c>
      <c r="C8" s="3">
        <v>4</v>
      </c>
      <c r="D8" s="3" t="s">
        <v>51</v>
      </c>
      <c r="E8" s="6">
        <v>44329</v>
      </c>
      <c r="F8" s="6">
        <v>44797</v>
      </c>
      <c r="G8" s="3"/>
      <c r="H8" s="3" t="s">
        <v>203</v>
      </c>
      <c r="I8" s="3"/>
      <c r="J8" s="3" t="s">
        <v>204</v>
      </c>
      <c r="K8" s="3">
        <f t="shared" si="0"/>
        <v>0</v>
      </c>
      <c r="L8" s="3" t="s">
        <v>205</v>
      </c>
      <c r="M8" s="3" t="s">
        <v>206</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199</v>
      </c>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v>123</v>
      </c>
      <c r="DB8" s="3"/>
    </row>
    <row r="9" s="2" customFormat="1" customHeight="1" spans="2:106">
      <c r="B9" s="2">
        <v>2607</v>
      </c>
      <c r="C9" s="3">
        <v>5</v>
      </c>
      <c r="D9" s="3" t="s">
        <v>207</v>
      </c>
      <c r="E9" s="6">
        <v>44720</v>
      </c>
      <c r="F9" s="6">
        <v>44797</v>
      </c>
      <c r="G9" s="3"/>
      <c r="H9" s="3" t="s">
        <v>208</v>
      </c>
      <c r="I9" s="3">
        <v>56</v>
      </c>
      <c r="J9" s="3">
        <v>333</v>
      </c>
      <c r="K9" s="3">
        <f t="shared" si="0"/>
        <v>0</v>
      </c>
      <c r="L9" s="3" t="s">
        <v>204</v>
      </c>
      <c r="M9" s="3" t="s">
        <v>209</v>
      </c>
      <c r="N9" s="3"/>
      <c r="O9" s="3" t="s">
        <v>210</v>
      </c>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v>123</v>
      </c>
      <c r="DB9" s="3"/>
    </row>
    <row r="10" s="2" customFormat="1" customHeight="1" spans="2:106">
      <c r="B10" s="2">
        <v>2608</v>
      </c>
      <c r="C10" s="3">
        <v>6</v>
      </c>
      <c r="D10" s="3" t="s">
        <v>51</v>
      </c>
      <c r="E10" s="6">
        <v>44146</v>
      </c>
      <c r="F10" s="6">
        <v>44797</v>
      </c>
      <c r="G10" s="3">
        <f>H10*I10/J10*H10*1.25</f>
        <v>5692445</v>
      </c>
      <c r="H10" s="3">
        <v>2134</v>
      </c>
      <c r="I10" s="3">
        <v>111</v>
      </c>
      <c r="J10" s="3">
        <v>111</v>
      </c>
      <c r="K10" s="3">
        <f t="shared" si="0"/>
        <v>11384890</v>
      </c>
      <c r="L10" s="3" t="s">
        <v>211</v>
      </c>
      <c r="M10" s="3">
        <v>1112</v>
      </c>
      <c r="N10" s="3" t="s">
        <v>212</v>
      </c>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v>123</v>
      </c>
      <c r="DB10" s="3"/>
    </row>
    <row r="11" s="2" customFormat="1" customHeight="1" spans="2:106">
      <c r="B11" s="2">
        <v>2609</v>
      </c>
      <c r="C11" s="3">
        <v>7</v>
      </c>
      <c r="D11" s="3" t="s">
        <v>51</v>
      </c>
      <c r="E11" s="6">
        <v>44146</v>
      </c>
      <c r="F11" s="6">
        <v>44797</v>
      </c>
      <c r="G11" s="3"/>
      <c r="H11" s="3" t="s">
        <v>213</v>
      </c>
      <c r="I11" s="3">
        <v>333</v>
      </c>
      <c r="J11" s="3">
        <v>555</v>
      </c>
      <c r="K11" s="3">
        <f t="shared" si="0"/>
        <v>0</v>
      </c>
      <c r="L11" s="3">
        <v>22</v>
      </c>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v>123</v>
      </c>
      <c r="DB11" s="3">
        <v>11</v>
      </c>
    </row>
    <row r="12" s="2" customFormat="1" customHeight="1" spans="2:106">
      <c r="B12" s="2">
        <v>2610</v>
      </c>
      <c r="C12" s="3">
        <v>8</v>
      </c>
      <c r="D12" s="3" t="s">
        <v>51</v>
      </c>
      <c r="E12" s="6">
        <v>44103</v>
      </c>
      <c r="F12" s="6">
        <v>44797</v>
      </c>
      <c r="G12" s="3">
        <f>H12*I12/J12*H12*1.25</f>
        <v>925606643.758481</v>
      </c>
      <c r="H12" s="3">
        <v>34523</v>
      </c>
      <c r="I12" s="3">
        <v>34523</v>
      </c>
      <c r="J12" s="3">
        <v>55566</v>
      </c>
      <c r="K12" s="3">
        <f t="shared" si="0"/>
        <v>1851213287.51696</v>
      </c>
      <c r="L12" s="3">
        <v>43534</v>
      </c>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v>123</v>
      </c>
      <c r="DB12" s="3">
        <v>123</v>
      </c>
    </row>
    <row r="13" customHeight="1" spans="2:105">
      <c r="B13" s="2">
        <v>2611</v>
      </c>
      <c r="C13" s="3">
        <v>9</v>
      </c>
      <c r="D13" s="3" t="s">
        <v>207</v>
      </c>
      <c r="E13" s="6">
        <v>44146</v>
      </c>
      <c r="F13" s="6">
        <v>44797</v>
      </c>
      <c r="G13" s="3">
        <f>H13*I13/J13*H13*1.25</f>
        <v>426048223.389521</v>
      </c>
      <c r="H13" s="3">
        <v>234222</v>
      </c>
      <c r="I13" s="3">
        <v>34523</v>
      </c>
      <c r="J13" s="3">
        <v>5556677</v>
      </c>
      <c r="K13" s="3">
        <f t="shared" si="0"/>
        <v>852096446.779043</v>
      </c>
      <c r="L13" s="3" t="s">
        <v>214</v>
      </c>
      <c r="M13" s="3">
        <v>234</v>
      </c>
      <c r="DA13" s="3">
        <v>1</v>
      </c>
    </row>
    <row r="14" customHeight="1" spans="2:105">
      <c r="B14" s="2">
        <v>2612</v>
      </c>
      <c r="C14" s="3">
        <v>10</v>
      </c>
      <c r="D14" s="3" t="s">
        <v>191</v>
      </c>
      <c r="E14" s="6">
        <v>44578</v>
      </c>
      <c r="F14" s="6">
        <v>44797</v>
      </c>
      <c r="G14" s="3">
        <f>H14*I14/J14*H14*1.25</f>
        <v>6.57608695652174</v>
      </c>
      <c r="H14" s="3">
        <v>11</v>
      </c>
      <c r="I14" s="3">
        <v>1</v>
      </c>
      <c r="J14" s="3">
        <v>23</v>
      </c>
      <c r="K14" s="3">
        <f t="shared" si="0"/>
        <v>13.1521739130435</v>
      </c>
      <c r="L14" s="3" t="s">
        <v>215</v>
      </c>
      <c r="N14" s="3">
        <v>2345</v>
      </c>
      <c r="DA14" s="3">
        <v>123</v>
      </c>
    </row>
    <row r="15" customHeight="1" spans="2:105">
      <c r="B15" s="2">
        <v>2613</v>
      </c>
      <c r="C15" s="3">
        <v>11</v>
      </c>
      <c r="D15" s="3" t="s">
        <v>51</v>
      </c>
      <c r="E15" s="6">
        <v>44329</v>
      </c>
      <c r="F15" s="6">
        <v>44797</v>
      </c>
      <c r="G15" s="3">
        <f>H15*I15/J15*H15*1.25</f>
        <v>1014629.67391304</v>
      </c>
      <c r="H15" s="3">
        <v>123</v>
      </c>
      <c r="I15" s="3">
        <v>1234</v>
      </c>
      <c r="J15" s="3">
        <v>23</v>
      </c>
      <c r="K15" s="3">
        <f t="shared" si="0"/>
        <v>2029259.34782609</v>
      </c>
      <c r="N15" s="3" t="s">
        <v>216</v>
      </c>
      <c r="O15" s="3">
        <v>23456</v>
      </c>
      <c r="DA15" s="3">
        <v>123</v>
      </c>
    </row>
    <row r="16" customHeight="1" spans="2:105">
      <c r="B16" s="2">
        <v>2614</v>
      </c>
      <c r="C16" s="3">
        <v>12</v>
      </c>
      <c r="D16" s="3" t="s">
        <v>51</v>
      </c>
      <c r="E16" s="6">
        <v>44103</v>
      </c>
      <c r="F16" s="6">
        <v>44797</v>
      </c>
      <c r="H16" s="3">
        <v>155</v>
      </c>
      <c r="I16" s="3">
        <v>1234</v>
      </c>
      <c r="K16" s="3">
        <f t="shared" si="0"/>
        <v>0</v>
      </c>
      <c r="DA16" s="3">
        <v>1</v>
      </c>
    </row>
    <row r="17" customHeight="1" spans="2:105">
      <c r="B17" s="2">
        <v>2615</v>
      </c>
      <c r="C17" s="3">
        <v>13</v>
      </c>
      <c r="D17" s="3" t="s">
        <v>51</v>
      </c>
      <c r="E17" s="6">
        <v>44103</v>
      </c>
      <c r="F17" s="6">
        <v>44797</v>
      </c>
      <c r="K17" s="3">
        <f t="shared" si="0"/>
        <v>0</v>
      </c>
      <c r="DA17" s="3">
        <v>123</v>
      </c>
    </row>
    <row r="18" customHeight="1" spans="2:105">
      <c r="B18" s="2">
        <v>2616</v>
      </c>
      <c r="C18" s="3">
        <v>14</v>
      </c>
      <c r="D18" s="3" t="s">
        <v>51</v>
      </c>
      <c r="E18" s="6">
        <v>44103</v>
      </c>
      <c r="F18" s="6">
        <v>44797</v>
      </c>
      <c r="K18" s="3">
        <f t="shared" si="0"/>
        <v>0</v>
      </c>
      <c r="DA18" s="3">
        <v>123</v>
      </c>
    </row>
    <row r="19" customHeight="1" spans="2:11">
      <c r="B19" s="2">
        <v>2620</v>
      </c>
      <c r="C19" s="3">
        <v>15</v>
      </c>
      <c r="D19" s="3" t="s">
        <v>51</v>
      </c>
      <c r="E19" s="6">
        <v>44056</v>
      </c>
      <c r="F19" s="6">
        <v>1</v>
      </c>
      <c r="I19" s="3">
        <v>1</v>
      </c>
      <c r="K19" s="3">
        <f t="shared" si="0"/>
        <v>0</v>
      </c>
    </row>
    <row r="20" customHeight="1" spans="2:11">
      <c r="B20" s="2">
        <v>2621</v>
      </c>
      <c r="C20" s="3">
        <v>16</v>
      </c>
      <c r="D20" s="3" t="s">
        <v>51</v>
      </c>
      <c r="E20" s="6">
        <v>44056</v>
      </c>
      <c r="F20" s="6">
        <v>1</v>
      </c>
      <c r="K20" s="3">
        <f t="shared" si="0"/>
        <v>0</v>
      </c>
    </row>
    <row r="21" customHeight="1" spans="2:11">
      <c r="B21" s="2">
        <v>2622</v>
      </c>
      <c r="C21" s="3">
        <v>17</v>
      </c>
      <c r="D21" s="3" t="s">
        <v>51</v>
      </c>
      <c r="E21" s="6">
        <v>44056</v>
      </c>
      <c r="F21" s="6">
        <v>1</v>
      </c>
      <c r="K21" s="3">
        <f t="shared" si="0"/>
        <v>0</v>
      </c>
    </row>
    <row r="22" customHeight="1" spans="2:11">
      <c r="B22" s="2">
        <v>2623</v>
      </c>
      <c r="C22" s="3">
        <v>18</v>
      </c>
      <c r="D22" s="3" t="s">
        <v>51</v>
      </c>
      <c r="E22" s="6">
        <v>44056</v>
      </c>
      <c r="F22" s="6">
        <v>1</v>
      </c>
      <c r="I22" s="3">
        <v>1</v>
      </c>
      <c r="K22" s="3">
        <f t="shared" si="0"/>
        <v>0</v>
      </c>
    </row>
    <row r="23" customHeight="1" spans="2:105">
      <c r="B23" s="2">
        <v>2627</v>
      </c>
      <c r="C23" s="3">
        <v>19</v>
      </c>
      <c r="D23" s="3" t="s">
        <v>51</v>
      </c>
      <c r="E23" s="6">
        <v>44146</v>
      </c>
      <c r="F23" s="6">
        <v>44797</v>
      </c>
      <c r="I23" s="3">
        <v>2222</v>
      </c>
      <c r="K23" s="3">
        <f t="shared" si="0"/>
        <v>0</v>
      </c>
      <c r="V23" s="3">
        <v>2345</v>
      </c>
      <c r="DA23" s="3">
        <v>123</v>
      </c>
    </row>
    <row r="24" customHeight="1" spans="2:105">
      <c r="B24" s="2">
        <v>2645</v>
      </c>
      <c r="C24" s="3">
        <v>20</v>
      </c>
      <c r="D24" s="3" t="s">
        <v>51</v>
      </c>
      <c r="E24" s="6">
        <v>44146</v>
      </c>
      <c r="F24" s="6">
        <v>44797</v>
      </c>
      <c r="G24" s="3">
        <f>H24*I24/J24*H24*1.25</f>
        <v>0</v>
      </c>
      <c r="I24" s="3">
        <v>234</v>
      </c>
      <c r="J24" s="3">
        <v>434</v>
      </c>
      <c r="K24" s="3">
        <f t="shared" si="0"/>
        <v>0</v>
      </c>
      <c r="DA24" s="3">
        <v>123</v>
      </c>
    </row>
    <row r="25" customHeight="1" spans="2:11">
      <c r="B25" s="2">
        <v>2646</v>
      </c>
      <c r="C25" s="3">
        <v>21</v>
      </c>
      <c r="D25" s="3" t="s">
        <v>51</v>
      </c>
      <c r="E25" s="6">
        <v>44082</v>
      </c>
      <c r="F25" s="6">
        <v>1</v>
      </c>
      <c r="H25" s="3">
        <v>324324</v>
      </c>
      <c r="K25" s="3">
        <f t="shared" si="0"/>
        <v>0</v>
      </c>
    </row>
    <row r="26" customHeight="1" spans="2:11">
      <c r="B26" s="2">
        <v>2647</v>
      </c>
      <c r="C26" s="3">
        <v>22</v>
      </c>
      <c r="D26" s="3" t="s">
        <v>51</v>
      </c>
      <c r="E26" s="6">
        <v>44095</v>
      </c>
      <c r="F26" s="6">
        <v>1</v>
      </c>
      <c r="I26" s="3">
        <v>45445</v>
      </c>
      <c r="K26" s="3">
        <f t="shared" si="0"/>
        <v>0</v>
      </c>
    </row>
    <row r="27" customHeight="1" spans="2:11">
      <c r="B27" s="2">
        <v>2648</v>
      </c>
      <c r="C27" s="3">
        <v>23</v>
      </c>
      <c r="D27" s="3" t="s">
        <v>51</v>
      </c>
      <c r="E27" s="6">
        <v>44082</v>
      </c>
      <c r="F27" s="6">
        <v>1</v>
      </c>
      <c r="H27" s="3">
        <v>44</v>
      </c>
      <c r="K27" s="3">
        <f t="shared" si="0"/>
        <v>0</v>
      </c>
    </row>
    <row r="28" customHeight="1" spans="2:11">
      <c r="B28" s="2">
        <v>2649</v>
      </c>
      <c r="C28" s="3">
        <v>24</v>
      </c>
      <c r="D28" s="3" t="s">
        <v>51</v>
      </c>
      <c r="E28" s="6">
        <v>44092</v>
      </c>
      <c r="F28" s="6">
        <v>1</v>
      </c>
      <c r="G28" s="3">
        <f>H28*I28/J28*H28*1.25</f>
        <v>0</v>
      </c>
      <c r="H28" s="3">
        <v>222</v>
      </c>
      <c r="J28" s="3">
        <v>32</v>
      </c>
      <c r="K28" s="3">
        <f t="shared" si="0"/>
        <v>0</v>
      </c>
    </row>
    <row r="29" customHeight="1" spans="2:11">
      <c r="B29" s="2">
        <v>2650</v>
      </c>
      <c r="C29" s="3">
        <v>25</v>
      </c>
      <c r="D29" s="3" t="s">
        <v>51</v>
      </c>
      <c r="E29" s="6">
        <v>44091</v>
      </c>
      <c r="F29" s="6">
        <v>1</v>
      </c>
      <c r="H29" s="3">
        <v>1212</v>
      </c>
      <c r="K29" s="3">
        <f t="shared" si="0"/>
        <v>0</v>
      </c>
    </row>
    <row r="30" customHeight="1" spans="2:17">
      <c r="B30" s="2">
        <v>2651</v>
      </c>
      <c r="C30" s="3">
        <v>26</v>
      </c>
      <c r="D30" s="3" t="s">
        <v>51</v>
      </c>
      <c r="E30" s="6">
        <v>44091</v>
      </c>
      <c r="F30" s="6">
        <v>1</v>
      </c>
      <c r="K30" s="3">
        <f t="shared" si="0"/>
        <v>0</v>
      </c>
      <c r="Q30" s="3">
        <v>432523</v>
      </c>
    </row>
    <row r="31" customHeight="1" spans="2:11">
      <c r="B31" s="2">
        <v>2652</v>
      </c>
      <c r="C31" s="3">
        <v>27</v>
      </c>
      <c r="D31" s="3" t="s">
        <v>51</v>
      </c>
      <c r="E31" s="6">
        <v>44091</v>
      </c>
      <c r="F31" s="6">
        <v>1</v>
      </c>
      <c r="H31" s="3">
        <v>2323</v>
      </c>
      <c r="K31" s="3">
        <f t="shared" si="0"/>
        <v>0</v>
      </c>
    </row>
    <row r="32" customHeight="1" spans="2:12">
      <c r="B32" s="2">
        <v>2653</v>
      </c>
      <c r="C32" s="3">
        <v>28</v>
      </c>
      <c r="D32" s="3" t="s">
        <v>51</v>
      </c>
      <c r="E32" s="6">
        <v>44091</v>
      </c>
      <c r="F32" s="6">
        <v>1</v>
      </c>
      <c r="H32" s="3">
        <v>124</v>
      </c>
      <c r="K32" s="3">
        <f t="shared" si="0"/>
        <v>0</v>
      </c>
      <c r="L32" s="3">
        <v>1111</v>
      </c>
    </row>
    <row r="33" customHeight="1" spans="2:14">
      <c r="B33" s="2">
        <v>2654</v>
      </c>
      <c r="C33" s="3">
        <v>29</v>
      </c>
      <c r="D33" s="3" t="s">
        <v>51</v>
      </c>
      <c r="E33" s="6">
        <v>44091</v>
      </c>
      <c r="F33" s="6">
        <v>1</v>
      </c>
      <c r="H33" s="3">
        <v>43</v>
      </c>
      <c r="I33" s="3">
        <v>43</v>
      </c>
      <c r="K33" s="3">
        <f t="shared" si="0"/>
        <v>0</v>
      </c>
      <c r="N33" s="3">
        <v>2152</v>
      </c>
    </row>
    <row r="34" customHeight="1" spans="2:11">
      <c r="B34" s="2">
        <v>2655</v>
      </c>
      <c r="C34" s="3">
        <v>30</v>
      </c>
      <c r="D34" s="3" t="s">
        <v>51</v>
      </c>
      <c r="E34" s="6">
        <v>44091</v>
      </c>
      <c r="F34" s="6">
        <v>1</v>
      </c>
      <c r="I34" s="3">
        <v>234</v>
      </c>
      <c r="K34" s="3">
        <f t="shared" si="0"/>
        <v>0</v>
      </c>
    </row>
    <row r="35" customHeight="1" spans="2:11">
      <c r="B35" s="2">
        <v>2656</v>
      </c>
      <c r="C35" s="3">
        <v>31</v>
      </c>
      <c r="D35" s="3" t="s">
        <v>51</v>
      </c>
      <c r="E35" s="6">
        <v>44091</v>
      </c>
      <c r="F35" s="6">
        <v>1</v>
      </c>
      <c r="H35" s="3">
        <v>435</v>
      </c>
      <c r="I35" s="3">
        <v>2344</v>
      </c>
      <c r="K35" s="3">
        <f t="shared" si="0"/>
        <v>0</v>
      </c>
    </row>
    <row r="36" customHeight="1" spans="2:11">
      <c r="B36" s="2">
        <v>2657</v>
      </c>
      <c r="C36" s="3">
        <v>32</v>
      </c>
      <c r="D36" s="3" t="s">
        <v>51</v>
      </c>
      <c r="E36" s="6">
        <v>44091</v>
      </c>
      <c r="F36" s="6">
        <v>1</v>
      </c>
      <c r="I36" s="3">
        <v>34</v>
      </c>
      <c r="K36" s="3">
        <f t="shared" si="0"/>
        <v>0</v>
      </c>
    </row>
    <row r="37" customHeight="1" spans="2:12">
      <c r="B37" s="2">
        <v>2658</v>
      </c>
      <c r="C37" s="3">
        <v>33</v>
      </c>
      <c r="D37" s="3" t="s">
        <v>51</v>
      </c>
      <c r="E37" s="6">
        <v>44091</v>
      </c>
      <c r="F37" s="6">
        <v>1</v>
      </c>
      <c r="H37" s="3">
        <v>325</v>
      </c>
      <c r="K37" s="3">
        <f t="shared" si="0"/>
        <v>0</v>
      </c>
      <c r="L37" s="3">
        <v>1213</v>
      </c>
    </row>
    <row r="38" customHeight="1" spans="2:11">
      <c r="B38" s="2">
        <v>2659</v>
      </c>
      <c r="C38" s="3">
        <v>34</v>
      </c>
      <c r="D38" s="3" t="s">
        <v>51</v>
      </c>
      <c r="E38" s="6">
        <v>44091</v>
      </c>
      <c r="F38" s="6">
        <v>1</v>
      </c>
      <c r="G38" s="3">
        <f>H38*I38/J38*H38*1.25</f>
        <v>0</v>
      </c>
      <c r="H38" s="3">
        <v>325</v>
      </c>
      <c r="J38" s="3">
        <v>2345</v>
      </c>
      <c r="K38" s="3">
        <f t="shared" si="0"/>
        <v>0</v>
      </c>
    </row>
    <row r="39" customHeight="1" spans="2:11">
      <c r="B39" s="2">
        <v>2660</v>
      </c>
      <c r="C39" s="3">
        <v>35</v>
      </c>
      <c r="D39" s="3" t="s">
        <v>51</v>
      </c>
      <c r="E39" s="6">
        <v>44091</v>
      </c>
      <c r="F39" s="6">
        <v>1</v>
      </c>
      <c r="K39" s="3">
        <f t="shared" si="0"/>
        <v>0</v>
      </c>
    </row>
    <row r="40" customHeight="1" spans="2:11">
      <c r="B40" s="2">
        <v>2661</v>
      </c>
      <c r="C40" s="3">
        <v>36</v>
      </c>
      <c r="D40" s="3" t="s">
        <v>51</v>
      </c>
      <c r="E40" s="6">
        <v>44091</v>
      </c>
      <c r="F40" s="6">
        <v>1</v>
      </c>
      <c r="K40" s="3">
        <f t="shared" si="0"/>
        <v>0</v>
      </c>
    </row>
    <row r="41" customHeight="1" spans="2:11">
      <c r="B41" s="2">
        <v>2662</v>
      </c>
      <c r="C41" s="3">
        <v>37</v>
      </c>
      <c r="D41" s="3" t="s">
        <v>51</v>
      </c>
      <c r="E41" s="6">
        <v>44091</v>
      </c>
      <c r="F41" s="6">
        <v>1</v>
      </c>
      <c r="G41" s="3">
        <f>H41*I41/J41*H41*1.25</f>
        <v>0</v>
      </c>
      <c r="H41" s="3">
        <v>123334</v>
      </c>
      <c r="J41" s="3">
        <v>123334</v>
      </c>
      <c r="K41" s="3">
        <f t="shared" si="0"/>
        <v>0</v>
      </c>
    </row>
    <row r="42" customHeight="1" spans="2:11">
      <c r="B42" s="2">
        <v>2663</v>
      </c>
      <c r="C42" s="3">
        <v>38</v>
      </c>
      <c r="D42" s="3" t="s">
        <v>51</v>
      </c>
      <c r="E42" s="6">
        <v>44091</v>
      </c>
      <c r="F42" s="6">
        <v>1</v>
      </c>
      <c r="H42" s="3">
        <v>444</v>
      </c>
      <c r="I42" s="3">
        <v>444</v>
      </c>
      <c r="K42" s="3">
        <f t="shared" si="0"/>
        <v>0</v>
      </c>
    </row>
    <row r="43" customHeight="1" spans="2:11">
      <c r="B43" s="2">
        <v>2664</v>
      </c>
      <c r="C43" s="3">
        <v>39</v>
      </c>
      <c r="D43" s="3" t="s">
        <v>51</v>
      </c>
      <c r="E43" s="6">
        <v>44091</v>
      </c>
      <c r="F43" s="6">
        <v>1</v>
      </c>
      <c r="G43" s="3">
        <f>H43*I43/J43*H43*1.25</f>
        <v>0</v>
      </c>
      <c r="H43" s="3">
        <v>444</v>
      </c>
      <c r="J43" s="3">
        <v>444</v>
      </c>
      <c r="K43" s="3">
        <f t="shared" si="0"/>
        <v>0</v>
      </c>
    </row>
    <row r="44" customHeight="1" spans="2:105">
      <c r="B44" s="2">
        <v>2665</v>
      </c>
      <c r="C44" s="3">
        <v>40</v>
      </c>
      <c r="D44" s="3" t="s">
        <v>51</v>
      </c>
      <c r="E44" s="6">
        <v>44777</v>
      </c>
      <c r="F44" s="6">
        <v>44797</v>
      </c>
      <c r="I44" s="3" t="s">
        <v>217</v>
      </c>
      <c r="J44" s="3" t="s">
        <v>218</v>
      </c>
      <c r="K44" s="3">
        <f t="shared" si="0"/>
        <v>0</v>
      </c>
      <c r="DA44" s="3">
        <v>123</v>
      </c>
    </row>
    <row r="45" customHeight="1" spans="2:105">
      <c r="B45" s="2">
        <v>2666</v>
      </c>
      <c r="C45" s="3">
        <v>41</v>
      </c>
      <c r="D45" s="3" t="s">
        <v>51</v>
      </c>
      <c r="E45" s="6">
        <v>44777</v>
      </c>
      <c r="F45" s="6">
        <v>44797</v>
      </c>
      <c r="H45" s="3">
        <v>345</v>
      </c>
      <c r="I45" s="3" t="s">
        <v>219</v>
      </c>
      <c r="K45" s="3">
        <f t="shared" si="0"/>
        <v>0</v>
      </c>
      <c r="DA45" s="3">
        <v>123</v>
      </c>
    </row>
    <row r="46" customHeight="1" spans="2:11">
      <c r="B46" s="2">
        <v>2667</v>
      </c>
      <c r="C46" s="3">
        <v>42</v>
      </c>
      <c r="D46" s="3" t="s">
        <v>51</v>
      </c>
      <c r="E46" s="6">
        <v>44091</v>
      </c>
      <c r="F46" s="6">
        <v>1</v>
      </c>
      <c r="H46" s="3">
        <v>11</v>
      </c>
      <c r="K46" s="3">
        <f t="shared" si="0"/>
        <v>0</v>
      </c>
    </row>
    <row r="47" customHeight="1" spans="2:11">
      <c r="B47" s="2">
        <v>2668</v>
      </c>
      <c r="C47" s="3">
        <v>43</v>
      </c>
      <c r="D47" s="3" t="s">
        <v>51</v>
      </c>
      <c r="E47" s="6">
        <v>44091</v>
      </c>
      <c r="F47" s="6">
        <v>1</v>
      </c>
      <c r="I47" s="3">
        <v>3332</v>
      </c>
      <c r="K47" s="3">
        <f t="shared" si="0"/>
        <v>0</v>
      </c>
    </row>
    <row r="48" customHeight="1" spans="2:11">
      <c r="B48" s="2">
        <v>2669</v>
      </c>
      <c r="C48" s="3">
        <v>44</v>
      </c>
      <c r="D48" s="3" t="s">
        <v>51</v>
      </c>
      <c r="E48" s="6">
        <v>44091</v>
      </c>
      <c r="F48" s="6">
        <v>44810</v>
      </c>
      <c r="H48" s="3">
        <v>345235</v>
      </c>
      <c r="K48" s="3">
        <f t="shared" si="0"/>
        <v>0</v>
      </c>
    </row>
    <row r="49" customHeight="1" spans="2:11">
      <c r="B49" s="2">
        <v>2670</v>
      </c>
      <c r="C49" s="3">
        <v>45</v>
      </c>
      <c r="D49" s="3" t="s">
        <v>51</v>
      </c>
      <c r="E49" s="6">
        <v>44091</v>
      </c>
      <c r="F49" s="6">
        <v>1</v>
      </c>
      <c r="I49" s="3">
        <v>222</v>
      </c>
      <c r="K49" s="3">
        <f t="shared" si="0"/>
        <v>0</v>
      </c>
    </row>
    <row r="50" customHeight="1" spans="2:11">
      <c r="B50" s="2">
        <v>2671</v>
      </c>
      <c r="C50" s="3">
        <v>46</v>
      </c>
      <c r="D50" s="3" t="s">
        <v>51</v>
      </c>
      <c r="E50" s="6">
        <v>44091</v>
      </c>
      <c r="F50" s="6">
        <v>1</v>
      </c>
      <c r="H50" s="3">
        <v>333</v>
      </c>
      <c r="K50" s="3">
        <f t="shared" si="0"/>
        <v>0</v>
      </c>
    </row>
    <row r="51" customHeight="1" spans="2:11">
      <c r="B51" s="2">
        <v>2672</v>
      </c>
      <c r="C51" s="3">
        <v>47</v>
      </c>
      <c r="D51" s="3" t="s">
        <v>51</v>
      </c>
      <c r="E51" s="6">
        <v>44091</v>
      </c>
      <c r="F51" s="6">
        <v>1</v>
      </c>
      <c r="K51" s="3">
        <f t="shared" si="0"/>
        <v>0</v>
      </c>
    </row>
    <row r="52" customHeight="1" spans="2:11">
      <c r="B52" s="2">
        <v>2673</v>
      </c>
      <c r="C52" s="3">
        <v>48</v>
      </c>
      <c r="D52" s="3" t="s">
        <v>51</v>
      </c>
      <c r="E52" s="6">
        <v>44091</v>
      </c>
      <c r="F52" s="6">
        <v>1</v>
      </c>
      <c r="G52" s="3">
        <f>H52*I52/J52*H52*1.25</f>
        <v>200216.25</v>
      </c>
      <c r="H52" s="3">
        <v>222</v>
      </c>
      <c r="I52" s="3">
        <v>13</v>
      </c>
      <c r="J52" s="3">
        <v>4</v>
      </c>
      <c r="K52" s="3">
        <f t="shared" si="0"/>
        <v>400432.5</v>
      </c>
    </row>
    <row r="53" customHeight="1" spans="2:11">
      <c r="B53" s="2">
        <v>2674</v>
      </c>
      <c r="C53" s="3">
        <v>49</v>
      </c>
      <c r="D53" s="3" t="s">
        <v>51</v>
      </c>
      <c r="E53" s="6">
        <v>44091</v>
      </c>
      <c r="F53" s="6">
        <v>1</v>
      </c>
      <c r="K53" s="3">
        <f t="shared" si="0"/>
        <v>0</v>
      </c>
    </row>
    <row r="54" customHeight="1" spans="2:11">
      <c r="B54" s="2">
        <v>2675</v>
      </c>
      <c r="C54" s="3">
        <v>50</v>
      </c>
      <c r="D54" s="3" t="s">
        <v>51</v>
      </c>
      <c r="E54" s="6">
        <v>44091</v>
      </c>
      <c r="F54" s="6">
        <v>1</v>
      </c>
      <c r="H54" s="3">
        <v>345</v>
      </c>
      <c r="K54" s="3">
        <f t="shared" si="0"/>
        <v>0</v>
      </c>
    </row>
    <row r="55" customHeight="1" spans="2:11">
      <c r="B55" s="2">
        <v>2676</v>
      </c>
      <c r="C55" s="3">
        <v>51</v>
      </c>
      <c r="D55" s="3" t="s">
        <v>51</v>
      </c>
      <c r="E55" s="6">
        <v>44091</v>
      </c>
      <c r="F55" s="6">
        <v>1</v>
      </c>
      <c r="H55" s="3">
        <v>234234</v>
      </c>
      <c r="I55" s="3">
        <v>245</v>
      </c>
      <c r="K55" s="3">
        <f t="shared" si="0"/>
        <v>0</v>
      </c>
    </row>
    <row r="56" customHeight="1" spans="2:11">
      <c r="B56" s="2">
        <v>2677</v>
      </c>
      <c r="C56" s="3">
        <v>52</v>
      </c>
      <c r="D56" s="3" t="s">
        <v>51</v>
      </c>
      <c r="E56" s="6">
        <v>44091</v>
      </c>
      <c r="F56" s="6">
        <v>1</v>
      </c>
      <c r="H56" s="3">
        <v>4234</v>
      </c>
      <c r="K56" s="3">
        <f t="shared" si="0"/>
        <v>0</v>
      </c>
    </row>
    <row r="57" customHeight="1" spans="2:11">
      <c r="B57" s="2">
        <v>2678</v>
      </c>
      <c r="C57" s="3">
        <v>53</v>
      </c>
      <c r="D57" s="3" t="s">
        <v>51</v>
      </c>
      <c r="E57" s="6">
        <v>44091</v>
      </c>
      <c r="F57" s="6">
        <v>1</v>
      </c>
      <c r="H57" s="3">
        <v>4325</v>
      </c>
      <c r="I57" s="3">
        <v>432555</v>
      </c>
      <c r="K57" s="3">
        <f t="shared" si="0"/>
        <v>0</v>
      </c>
    </row>
    <row r="58" customHeight="1" spans="2:11">
      <c r="B58" s="2">
        <v>2679</v>
      </c>
      <c r="C58" s="3">
        <v>54</v>
      </c>
      <c r="D58" s="3" t="s">
        <v>51</v>
      </c>
      <c r="E58" s="6">
        <v>44092</v>
      </c>
      <c r="F58" s="6">
        <v>1</v>
      </c>
      <c r="H58" s="3">
        <v>222</v>
      </c>
      <c r="K58" s="3">
        <f t="shared" si="0"/>
        <v>0</v>
      </c>
    </row>
    <row r="59" customHeight="1" spans="2:11">
      <c r="B59" s="2">
        <v>2680</v>
      </c>
      <c r="C59" s="3">
        <v>55</v>
      </c>
      <c r="D59" s="3" t="s">
        <v>51</v>
      </c>
      <c r="E59" s="6">
        <v>44092</v>
      </c>
      <c r="F59" s="6">
        <v>1</v>
      </c>
      <c r="I59" s="3">
        <v>325</v>
      </c>
      <c r="K59" s="3">
        <f t="shared" si="0"/>
        <v>0</v>
      </c>
    </row>
    <row r="60" customHeight="1" spans="2:106">
      <c r="B60" s="2">
        <v>2685</v>
      </c>
      <c r="C60" s="3">
        <v>56</v>
      </c>
      <c r="D60" s="3" t="s">
        <v>51</v>
      </c>
      <c r="E60" s="6">
        <v>44097</v>
      </c>
      <c r="F60" s="6">
        <v>1</v>
      </c>
      <c r="H60" s="3">
        <v>234</v>
      </c>
      <c r="K60" s="3">
        <f t="shared" si="0"/>
        <v>0</v>
      </c>
      <c r="DB60" s="3">
        <v>123</v>
      </c>
    </row>
    <row r="61" customHeight="1" spans="2:106">
      <c r="B61" s="2">
        <v>2697</v>
      </c>
      <c r="C61" s="3">
        <v>57</v>
      </c>
      <c r="D61" s="3" t="s">
        <v>51</v>
      </c>
      <c r="E61" s="6">
        <v>44097</v>
      </c>
      <c r="F61" s="6">
        <v>1</v>
      </c>
      <c r="I61" s="3">
        <v>24444444</v>
      </c>
      <c r="K61" s="3">
        <f t="shared" si="0"/>
        <v>0</v>
      </c>
      <c r="DB61" s="3">
        <v>123</v>
      </c>
    </row>
    <row r="62" customHeight="1" spans="2:106">
      <c r="B62" s="2">
        <v>2698</v>
      </c>
      <c r="C62" s="3">
        <v>58</v>
      </c>
      <c r="D62" s="3" t="s">
        <v>51</v>
      </c>
      <c r="E62" s="6">
        <v>44097</v>
      </c>
      <c r="F62" s="6">
        <v>1</v>
      </c>
      <c r="H62" s="3">
        <v>435</v>
      </c>
      <c r="K62" s="3">
        <f t="shared" si="0"/>
        <v>0</v>
      </c>
      <c r="DB62" s="3">
        <v>123</v>
      </c>
    </row>
    <row r="63" customHeight="1" spans="2:106">
      <c r="B63" s="2">
        <v>2699</v>
      </c>
      <c r="C63" s="3">
        <v>59</v>
      </c>
      <c r="D63" s="3" t="s">
        <v>51</v>
      </c>
      <c r="E63" s="6">
        <v>44097</v>
      </c>
      <c r="F63" s="6">
        <v>1</v>
      </c>
      <c r="K63" s="3">
        <f t="shared" si="0"/>
        <v>0</v>
      </c>
      <c r="DA63" s="3">
        <v>123</v>
      </c>
      <c r="DB63" s="3">
        <v>2134</v>
      </c>
    </row>
    <row r="64" customHeight="1" spans="2:106">
      <c r="B64" s="2">
        <v>2700</v>
      </c>
      <c r="C64" s="3">
        <v>60</v>
      </c>
      <c r="D64" s="3" t="s">
        <v>51</v>
      </c>
      <c r="E64" s="6">
        <v>44097</v>
      </c>
      <c r="F64" s="6">
        <v>1</v>
      </c>
      <c r="I64" s="3">
        <v>4</v>
      </c>
      <c r="K64" s="3">
        <f t="shared" si="0"/>
        <v>0</v>
      </c>
      <c r="DA64" s="3">
        <v>123</v>
      </c>
      <c r="DB64" s="3">
        <v>2134</v>
      </c>
    </row>
    <row r="65" customHeight="1" spans="2:106">
      <c r="B65" s="2">
        <v>2701</v>
      </c>
      <c r="C65" s="3">
        <v>61</v>
      </c>
      <c r="D65" s="3" t="s">
        <v>51</v>
      </c>
      <c r="E65" s="6">
        <v>44097</v>
      </c>
      <c r="F65" s="6">
        <v>1</v>
      </c>
      <c r="I65" s="3">
        <v>345</v>
      </c>
      <c r="K65" s="3">
        <f t="shared" si="0"/>
        <v>0</v>
      </c>
      <c r="DA65" s="3">
        <v>214</v>
      </c>
      <c r="DB65" s="3">
        <v>123</v>
      </c>
    </row>
    <row r="66" customHeight="1" spans="2:106">
      <c r="B66" s="2">
        <v>2702</v>
      </c>
      <c r="C66" s="3">
        <v>62</v>
      </c>
      <c r="D66" s="3" t="s">
        <v>51</v>
      </c>
      <c r="E66" s="6">
        <v>44097</v>
      </c>
      <c r="F66" s="6">
        <v>1</v>
      </c>
      <c r="K66" s="3">
        <f t="shared" si="0"/>
        <v>0</v>
      </c>
      <c r="DA66" s="3">
        <v>123</v>
      </c>
      <c r="DB66" s="3">
        <v>21422</v>
      </c>
    </row>
    <row r="67" customHeight="1" spans="2:106">
      <c r="B67" s="2">
        <v>2703</v>
      </c>
      <c r="C67" s="3">
        <v>63</v>
      </c>
      <c r="D67" s="3" t="s">
        <v>51</v>
      </c>
      <c r="E67" s="6">
        <v>44097</v>
      </c>
      <c r="F67" s="6">
        <v>1</v>
      </c>
      <c r="H67" s="3">
        <v>2</v>
      </c>
      <c r="K67" s="3">
        <f t="shared" si="0"/>
        <v>0</v>
      </c>
      <c r="DB67" s="3">
        <v>123</v>
      </c>
    </row>
    <row r="68" customHeight="1" spans="2:106">
      <c r="B68" s="2">
        <v>2704</v>
      </c>
      <c r="C68" s="3">
        <v>64</v>
      </c>
      <c r="D68" s="3" t="s">
        <v>51</v>
      </c>
      <c r="E68" s="6">
        <v>44097</v>
      </c>
      <c r="F68" s="6">
        <v>1</v>
      </c>
      <c r="I68" s="3">
        <v>234234</v>
      </c>
      <c r="K68" s="3">
        <f t="shared" si="0"/>
        <v>0</v>
      </c>
      <c r="DB68" s="3">
        <v>123</v>
      </c>
    </row>
    <row r="69" customHeight="1" spans="2:105">
      <c r="B69" s="2">
        <v>2705</v>
      </c>
      <c r="C69" s="3">
        <v>65</v>
      </c>
      <c r="D69" s="3" t="s">
        <v>51</v>
      </c>
      <c r="E69" s="6">
        <v>44101</v>
      </c>
      <c r="F69" s="6">
        <v>44797</v>
      </c>
      <c r="G69" s="3">
        <f>H69*I69/J69*H69*1.25</f>
        <v>0.113636363636364</v>
      </c>
      <c r="H69" s="3">
        <v>1</v>
      </c>
      <c r="I69" s="3">
        <v>3</v>
      </c>
      <c r="J69" s="3">
        <v>33</v>
      </c>
      <c r="K69" s="3">
        <f t="shared" ref="K69:K93" si="1">G69*2</f>
        <v>0.227272727272727</v>
      </c>
      <c r="L69" s="3" t="s">
        <v>220</v>
      </c>
      <c r="M69" s="3">
        <v>435</v>
      </c>
      <c r="O69" s="3" t="s">
        <v>169</v>
      </c>
      <c r="DA69" s="3">
        <v>123</v>
      </c>
    </row>
    <row r="70" customHeight="1" spans="2:11">
      <c r="B70" s="2">
        <v>2706</v>
      </c>
      <c r="C70" s="3">
        <v>66</v>
      </c>
      <c r="D70" s="3" t="s">
        <v>51</v>
      </c>
      <c r="E70" s="6">
        <v>44097</v>
      </c>
      <c r="F70" s="6">
        <v>1</v>
      </c>
      <c r="H70" s="3">
        <v>1234</v>
      </c>
      <c r="K70" s="3">
        <f t="shared" si="1"/>
        <v>0</v>
      </c>
    </row>
    <row r="71" customHeight="1" spans="2:105">
      <c r="B71" s="2">
        <v>2707</v>
      </c>
      <c r="C71" s="3">
        <v>67</v>
      </c>
      <c r="D71" s="3" t="s">
        <v>51</v>
      </c>
      <c r="E71" s="6">
        <v>44101</v>
      </c>
      <c r="F71" s="6">
        <v>44797</v>
      </c>
      <c r="H71" s="3">
        <v>2</v>
      </c>
      <c r="I71" s="3">
        <v>4</v>
      </c>
      <c r="K71" s="3">
        <f t="shared" si="1"/>
        <v>0</v>
      </c>
      <c r="L71" s="3" t="s">
        <v>221</v>
      </c>
      <c r="M71" s="3">
        <v>435</v>
      </c>
      <c r="DA71" s="3">
        <v>12</v>
      </c>
    </row>
    <row r="72" customHeight="1" spans="2:105">
      <c r="B72" s="2">
        <v>2708</v>
      </c>
      <c r="C72" s="3">
        <v>68</v>
      </c>
      <c r="D72" s="3" t="s">
        <v>51</v>
      </c>
      <c r="E72" s="6">
        <v>44101</v>
      </c>
      <c r="F72" s="6">
        <v>44797</v>
      </c>
      <c r="G72" s="3">
        <f>H72*I72/J72*H72*1.25</f>
        <v>2.52873563218391</v>
      </c>
      <c r="H72" s="3">
        <v>4</v>
      </c>
      <c r="I72" s="3">
        <v>55</v>
      </c>
      <c r="J72" s="3">
        <v>435</v>
      </c>
      <c r="K72" s="3">
        <f t="shared" si="1"/>
        <v>5.05747126436782</v>
      </c>
      <c r="L72" s="3">
        <v>435</v>
      </c>
      <c r="M72" s="3">
        <v>435</v>
      </c>
      <c r="N72" s="3" t="s">
        <v>205</v>
      </c>
      <c r="DA72" s="3">
        <v>12</v>
      </c>
    </row>
    <row r="73" customHeight="1" spans="2:105">
      <c r="B73" s="2">
        <v>2709</v>
      </c>
      <c r="C73" s="3">
        <v>69</v>
      </c>
      <c r="D73" s="3" t="s">
        <v>51</v>
      </c>
      <c r="E73" s="6">
        <v>44097</v>
      </c>
      <c r="F73" s="6">
        <v>44797</v>
      </c>
      <c r="H73" s="3">
        <v>34523</v>
      </c>
      <c r="I73" s="3">
        <v>34523</v>
      </c>
      <c r="K73" s="3">
        <f t="shared" si="1"/>
        <v>0</v>
      </c>
      <c r="DA73" s="3">
        <v>123</v>
      </c>
    </row>
    <row r="74" customHeight="1" spans="2:105">
      <c r="B74" s="2">
        <v>2710</v>
      </c>
      <c r="C74" s="3">
        <v>70</v>
      </c>
      <c r="D74" s="3" t="s">
        <v>51</v>
      </c>
      <c r="E74" s="6">
        <v>44101</v>
      </c>
      <c r="F74" s="6">
        <v>44797</v>
      </c>
      <c r="H74" s="3">
        <v>13664</v>
      </c>
      <c r="I74" s="3">
        <v>2</v>
      </c>
      <c r="K74" s="3">
        <f t="shared" si="1"/>
        <v>0</v>
      </c>
      <c r="DA74" s="3">
        <v>123</v>
      </c>
    </row>
    <row r="75" customHeight="1" spans="2:105">
      <c r="B75" s="2">
        <v>2711</v>
      </c>
      <c r="C75" s="3">
        <v>71</v>
      </c>
      <c r="D75" s="3" t="s">
        <v>51</v>
      </c>
      <c r="E75" s="6">
        <v>44101</v>
      </c>
      <c r="F75" s="6">
        <v>44797</v>
      </c>
      <c r="G75" s="3">
        <f>H75*I75/J75*H75*1.25</f>
        <v>0</v>
      </c>
      <c r="H75" s="3">
        <v>234</v>
      </c>
      <c r="J75" s="3">
        <v>666</v>
      </c>
      <c r="K75" s="3">
        <f t="shared" si="1"/>
        <v>0</v>
      </c>
      <c r="L75" s="3" t="s">
        <v>84</v>
      </c>
      <c r="CG75" s="3" t="s">
        <v>68</v>
      </c>
      <c r="DA75" s="3">
        <v>123</v>
      </c>
    </row>
    <row r="76" customHeight="1" spans="2:17">
      <c r="B76" s="2">
        <v>2714</v>
      </c>
      <c r="C76" s="3">
        <v>72</v>
      </c>
      <c r="D76" s="3" t="s">
        <v>222</v>
      </c>
      <c r="E76" s="6">
        <v>44097</v>
      </c>
      <c r="F76" s="6">
        <v>1</v>
      </c>
      <c r="K76" s="3">
        <f t="shared" si="1"/>
        <v>0</v>
      </c>
      <c r="P76" s="3" t="s">
        <v>205</v>
      </c>
      <c r="Q76" s="3">
        <v>255</v>
      </c>
    </row>
    <row r="77" customHeight="1" spans="2:17">
      <c r="B77" s="2">
        <v>2715</v>
      </c>
      <c r="C77" s="3">
        <v>73</v>
      </c>
      <c r="D77" s="3" t="s">
        <v>222</v>
      </c>
      <c r="E77" s="6">
        <v>44097</v>
      </c>
      <c r="F77" s="6">
        <v>1</v>
      </c>
      <c r="K77" s="3">
        <f t="shared" si="1"/>
        <v>0</v>
      </c>
      <c r="Q77" s="3" t="s">
        <v>223</v>
      </c>
    </row>
    <row r="78" customHeight="1" spans="2:11">
      <c r="B78" s="2">
        <v>2716</v>
      </c>
      <c r="C78" s="3">
        <v>74</v>
      </c>
      <c r="D78" s="3" t="s">
        <v>224</v>
      </c>
      <c r="E78" s="6">
        <v>44097</v>
      </c>
      <c r="F78" s="6">
        <v>1</v>
      </c>
      <c r="H78" s="3">
        <v>345</v>
      </c>
      <c r="I78" s="3">
        <v>44</v>
      </c>
      <c r="K78" s="3">
        <f t="shared" si="1"/>
        <v>0</v>
      </c>
    </row>
    <row r="79" customHeight="1" spans="2:11">
      <c r="B79" s="2">
        <v>2717</v>
      </c>
      <c r="C79" s="3">
        <v>75</v>
      </c>
      <c r="D79" s="3" t="s">
        <v>224</v>
      </c>
      <c r="E79" s="6">
        <v>44097</v>
      </c>
      <c r="F79" s="6">
        <v>1</v>
      </c>
      <c r="H79" s="3">
        <v>3</v>
      </c>
      <c r="K79" s="3">
        <f t="shared" si="1"/>
        <v>0</v>
      </c>
    </row>
    <row r="80" customHeight="1" spans="2:11">
      <c r="B80" s="2">
        <v>2718</v>
      </c>
      <c r="C80" s="3">
        <v>76</v>
      </c>
      <c r="D80" s="3" t="s">
        <v>224</v>
      </c>
      <c r="E80" s="6">
        <v>44097</v>
      </c>
      <c r="F80" s="6">
        <v>1</v>
      </c>
      <c r="G80" s="3">
        <f>H80*I80/J80*H80*1.25</f>
        <v>0.098396501457726</v>
      </c>
      <c r="H80" s="3">
        <v>3</v>
      </c>
      <c r="I80" s="3">
        <v>3</v>
      </c>
      <c r="J80" s="3">
        <v>343</v>
      </c>
      <c r="K80" s="3">
        <f t="shared" si="1"/>
        <v>0.196793002915452</v>
      </c>
    </row>
    <row r="81" customHeight="1" spans="2:11">
      <c r="B81" s="2">
        <v>2719</v>
      </c>
      <c r="C81" s="3">
        <v>77</v>
      </c>
      <c r="D81" s="3" t="s">
        <v>224</v>
      </c>
      <c r="E81" s="6">
        <v>44097</v>
      </c>
      <c r="F81" s="6">
        <v>1</v>
      </c>
      <c r="G81" s="3">
        <f>H81*I81/J81*H81*1.25</f>
        <v>0</v>
      </c>
      <c r="H81" s="3">
        <v>9</v>
      </c>
      <c r="J81" s="3">
        <v>355</v>
      </c>
      <c r="K81" s="3">
        <f t="shared" si="1"/>
        <v>0</v>
      </c>
    </row>
    <row r="82" customHeight="1" spans="2:11">
      <c r="B82" s="2">
        <v>2720</v>
      </c>
      <c r="C82" s="3">
        <v>78</v>
      </c>
      <c r="D82" s="3" t="s">
        <v>224</v>
      </c>
      <c r="E82" s="6">
        <v>44097</v>
      </c>
      <c r="F82" s="6">
        <v>1</v>
      </c>
      <c r="H82" s="3">
        <v>2</v>
      </c>
      <c r="K82" s="3">
        <f t="shared" si="1"/>
        <v>0</v>
      </c>
    </row>
    <row r="83" customHeight="1" spans="2:105">
      <c r="B83" s="2">
        <v>2721</v>
      </c>
      <c r="C83" s="3">
        <v>79</v>
      </c>
      <c r="D83" s="3" t="s">
        <v>51</v>
      </c>
      <c r="E83" s="6">
        <v>44123</v>
      </c>
      <c r="F83" s="6">
        <v>44797</v>
      </c>
      <c r="H83" s="3">
        <v>22</v>
      </c>
      <c r="K83" s="3">
        <f t="shared" si="1"/>
        <v>0</v>
      </c>
      <c r="L83" s="3" t="s">
        <v>225</v>
      </c>
      <c r="AI83" s="3" t="s">
        <v>226</v>
      </c>
      <c r="DA83" s="3">
        <v>1</v>
      </c>
    </row>
    <row r="84" customHeight="1" spans="2:105">
      <c r="B84" s="2">
        <v>2722</v>
      </c>
      <c r="C84" s="3">
        <v>80</v>
      </c>
      <c r="D84" s="3" t="s">
        <v>227</v>
      </c>
      <c r="E84" s="6">
        <v>44097</v>
      </c>
      <c r="F84" s="6">
        <v>44797</v>
      </c>
      <c r="K84" s="3">
        <f t="shared" si="1"/>
        <v>0</v>
      </c>
      <c r="AI84" s="3" t="s">
        <v>68</v>
      </c>
      <c r="DA84" s="3">
        <v>123</v>
      </c>
    </row>
    <row r="85" customHeight="1" spans="2:11">
      <c r="B85" s="2">
        <v>2723</v>
      </c>
      <c r="C85" s="3">
        <v>81</v>
      </c>
      <c r="D85" s="3" t="s">
        <v>227</v>
      </c>
      <c r="E85" s="6">
        <v>44097</v>
      </c>
      <c r="F85" s="6">
        <v>1</v>
      </c>
      <c r="K85" s="3">
        <f t="shared" si="1"/>
        <v>0</v>
      </c>
    </row>
    <row r="86" customHeight="1" spans="2:85">
      <c r="B86" s="2">
        <v>2724</v>
      </c>
      <c r="C86" s="3">
        <v>82</v>
      </c>
      <c r="D86" s="3" t="s">
        <v>227</v>
      </c>
      <c r="E86" s="6">
        <v>44097</v>
      </c>
      <c r="F86" s="6">
        <v>1</v>
      </c>
      <c r="K86" s="3">
        <f t="shared" si="1"/>
        <v>0</v>
      </c>
      <c r="CG86" s="3" t="s">
        <v>68</v>
      </c>
    </row>
    <row r="87" customHeight="1" spans="2:11">
      <c r="B87" s="2">
        <v>2725</v>
      </c>
      <c r="C87" s="3">
        <v>83</v>
      </c>
      <c r="D87" s="3" t="s">
        <v>227</v>
      </c>
      <c r="E87" s="6">
        <v>44097</v>
      </c>
      <c r="F87" s="6">
        <v>1</v>
      </c>
      <c r="I87" s="3">
        <v>35</v>
      </c>
      <c r="K87" s="3">
        <f t="shared" si="1"/>
        <v>0</v>
      </c>
    </row>
    <row r="88" customHeight="1" spans="2:11">
      <c r="B88" s="2">
        <v>2726</v>
      </c>
      <c r="C88" s="3">
        <v>84</v>
      </c>
      <c r="D88" s="3" t="s">
        <v>227</v>
      </c>
      <c r="E88" s="6">
        <v>44097</v>
      </c>
      <c r="F88" s="6">
        <v>1</v>
      </c>
      <c r="H88" s="3">
        <v>353</v>
      </c>
      <c r="K88" s="3">
        <f t="shared" si="1"/>
        <v>0</v>
      </c>
    </row>
    <row r="89" customHeight="1" spans="2:11">
      <c r="B89" s="2">
        <v>2727</v>
      </c>
      <c r="C89" s="3">
        <v>85</v>
      </c>
      <c r="D89" s="3" t="s">
        <v>224</v>
      </c>
      <c r="E89" s="6">
        <v>44097</v>
      </c>
      <c r="F89" s="6">
        <v>1</v>
      </c>
      <c r="G89" s="3">
        <f>H89*I89/J89*H89*1.25</f>
        <v>0</v>
      </c>
      <c r="I89" s="3">
        <v>4448</v>
      </c>
      <c r="J89" s="3">
        <v>35</v>
      </c>
      <c r="K89" s="3">
        <f t="shared" si="1"/>
        <v>0</v>
      </c>
    </row>
    <row r="90" customHeight="1" spans="2:105">
      <c r="B90" s="2">
        <v>2905</v>
      </c>
      <c r="C90" s="3">
        <v>86</v>
      </c>
      <c r="D90" s="3" t="s">
        <v>51</v>
      </c>
      <c r="E90" s="6">
        <v>44779</v>
      </c>
      <c r="F90" s="6">
        <v>44797</v>
      </c>
      <c r="K90" s="3">
        <f t="shared" si="1"/>
        <v>0</v>
      </c>
      <c r="DA90" s="3">
        <v>123</v>
      </c>
    </row>
    <row r="91" customHeight="1" spans="2:105">
      <c r="B91" s="2">
        <v>2907</v>
      </c>
      <c r="C91" s="3">
        <v>87</v>
      </c>
      <c r="D91" s="3" t="s">
        <v>51</v>
      </c>
      <c r="E91" s="6">
        <v>44793</v>
      </c>
      <c r="F91" s="6">
        <v>44811</v>
      </c>
      <c r="K91" s="3">
        <f t="shared" si="1"/>
        <v>0</v>
      </c>
      <c r="DA91" s="3">
        <v>123</v>
      </c>
    </row>
    <row r="92" customHeight="1" spans="2:105">
      <c r="B92" s="2">
        <v>2908</v>
      </c>
      <c r="C92" s="3">
        <v>88</v>
      </c>
      <c r="D92" s="3" t="s">
        <v>51</v>
      </c>
      <c r="E92" s="6">
        <v>44793</v>
      </c>
      <c r="F92" s="6">
        <v>44797</v>
      </c>
      <c r="K92" s="3">
        <f t="shared" si="1"/>
        <v>0</v>
      </c>
      <c r="DA92" s="3">
        <v>123</v>
      </c>
    </row>
    <row r="93" customHeight="1" spans="2:11">
      <c r="B93" s="2">
        <v>2915</v>
      </c>
      <c r="C93" s="3">
        <v>89</v>
      </c>
      <c r="D93" s="3" t="s">
        <v>51</v>
      </c>
      <c r="E93" s="6">
        <v>44812</v>
      </c>
      <c r="F93" s="6">
        <v>44813</v>
      </c>
      <c r="G93" s="3">
        <f>H93*I93/J93*H93*1.25</f>
        <v>1.04166666666667</v>
      </c>
      <c r="H93" s="3">
        <v>1</v>
      </c>
      <c r="I93" s="3">
        <v>2.5</v>
      </c>
      <c r="J93" s="3">
        <v>3</v>
      </c>
      <c r="K93" s="3">
        <f t="shared" si="1"/>
        <v>2.08333333333333</v>
      </c>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2022-09-10T04:02:43Z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