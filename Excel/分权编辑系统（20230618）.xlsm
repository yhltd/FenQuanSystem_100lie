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人员管理!$C$4:$K$12</definedName>
  </definedNames>
  <calcPr calcId="144525"/>
</workbook>
</file>

<file path=xl/sharedStrings.xml><?xml version="1.0" encoding="utf-8"?>
<sst xmlns="http://schemas.openxmlformats.org/spreadsheetml/2006/main" count="1189" uniqueCount="234">
  <si>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</si>
  <si>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</si>
  <si>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</si>
  <si>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</si>
  <si>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</si>
  <si>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</si>
  <si>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</si>
  <si>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</si>
  <si>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</si>
  <si>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</si>
  <si>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</si>
  <si>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</si>
  <si>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</si>
  <si>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</si>
  <si>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</si>
  <si>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</si>
  <si>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</si>
  <si>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</si>
  <si>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</si>
  <si>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</si>
  <si>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</si>
  <si>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</si>
  <si>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</si>
  <si>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</si>
  <si>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</si>
  <si>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</si>
  <si>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</si>
  <si>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</si>
  <si>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</si>
  <si>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</si>
  <si>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</si>
  <si>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</si>
  <si>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</si>
  <si>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</si>
  <si>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</si>
  <si>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</si>
  <si>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</si>
  <si>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</si>
  <si>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</si>
  <si>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</si>
  <si>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</si>
  <si>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</si>
  <si>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</si>
  <si>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</si>
  <si>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</si>
  <si>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</si>
  <si>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</si>
  <si>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</si>
  <si>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</si>
  <si>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</si>
  <si>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正常</t>
  </si>
  <si>
    <t>457851233@163.com</t>
  </si>
  <si>
    <t>周琼玟</t>
  </si>
  <si>
    <t>zhangsan</t>
  </si>
  <si>
    <t>锁死</t>
  </si>
  <si>
    <t>12121323@163.com</t>
  </si>
  <si>
    <t>202301311424499</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</si>
  <si>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</si>
  <si>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</si>
  <si>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</si>
  <si>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</si>
  <si>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</si>
  <si>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</si>
  <si>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</si>
  <si>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</si>
  <si>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</si>
  <si>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</si>
  <si>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</si>
  <si>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</si>
  <si>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</si>
  <si>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</si>
  <si>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</si>
  <si>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</si>
  <si>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</si>
  <si>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</si>
  <si>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</si>
  <si>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</si>
  <si>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</si>
  <si>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</si>
  <si>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326532@163.com</t>
  </si>
  <si>
    <t>2023013115350812</t>
  </si>
  <si>
    <t>测试人员1</t>
  </si>
  <si>
    <t>admin</t>
  </si>
  <si>
    <t>2023081009151813</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</si>
  <si>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</si>
  <si>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</si>
  <si>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</si>
  <si>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</si>
  <si>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</si>
  <si>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</si>
  <si>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</si>
  <si>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</si>
  <si>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</si>
  <si>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</si>
  <si>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</si>
  <si>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</si>
  <si>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</si>
  <si>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</si>
  <si>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</si>
  <si>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</si>
  <si>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</si>
  <si>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</si>
  <si>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</si>
  <si>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</si>
  <si>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</si>
  <si>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</si>
  <si>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</si>
  <si>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</si>
  <si>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</si>
  <si>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</si>
  <si>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</si>
  <si>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</si>
  <si>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</si>
  <si>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</si>
  <si>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</si>
  <si>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</si>
  <si>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</si>
  <si>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</si>
  <si>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</si>
  <si>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</si>
  <si>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</si>
  <si>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</si>
  <si>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</si>
  <si>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</si>
  <si>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</si>
  <si>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</si>
  <si>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</si>
  <si>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</si>
  <si>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</si>
  <si>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</si>
  <si>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</si>
  <si>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</si>
  <si>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</si>
  <si>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</si>
  <si>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</si>
  <si>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</si>
  <si>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</si>
  <si>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</si>
  <si>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</si>
  <si>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</si>
  <si>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</si>
  <si>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</si>
  <si>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</si>
  <si>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</si>
  <si>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</si>
  <si>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</si>
  <si>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</si>
  <si>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</si>
  <si>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</si>
  <si>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</si>
  <si>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</si>
  <si>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</si>
  <si>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</si>
  <si>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</si>
  <si>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</si>
  <si>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</si>
  <si>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</si>
  <si>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</si>
  <si>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</si>
  <si>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</si>
  <si>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</si>
  <si>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</si>
  <si>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</si>
  <si>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</si>
  <si>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</si>
  <si>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</si>
  <si>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</si>
  <si>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</si>
  <si>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</si>
  <si>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</si>
  <si>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</si>
  <si>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</si>
  <si>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</si>
  <si>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</si>
  <si>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</si>
  <si>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</si>
  <si>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</si>
  <si>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</si>
  <si>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</si>
  <si>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</si>
  <si>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</si>
  <si>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</si>
  <si>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</si>
  <si>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</si>
  <si>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</si>
  <si>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</si>
  <si>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</si>
  <si>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</si>
  <si>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张三</t>
  </si>
  <si>
    <t>asd</t>
  </si>
  <si>
    <t>20230616070305</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</si>
  <si>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</si>
  <si>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</si>
  <si>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</si>
  <si>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</si>
  <si>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</si>
  <si>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</si>
  <si>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</si>
  <si>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</si>
  <si>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</si>
  <si>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</si>
  <si>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</si>
  <si>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</si>
  <si>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</si>
  <si>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</si>
  <si>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</si>
  <si>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</si>
  <si>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</si>
  <si>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</si>
  <si>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</si>
  <si>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</si>
  <si>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</si>
  <si>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</si>
  <si>
    <t>测试</t>
  </si>
  <si>
    <t>李四</t>
  </si>
  <si>
    <t>王五</t>
  </si>
  <si>
    <t>弟弟</t>
  </si>
  <si>
    <t xml:space="preserve"> hehehh</t>
  </si>
  <si>
    <t>监控室3</t>
  </si>
  <si>
    <t>订单</t>
  </si>
  <si>
    <t>水电费</t>
  </si>
  <si>
    <t>『』</t>
  </si>
  <si>
    <t>??</t>
  </si>
  <si>
    <t>监控室8996</t>
  </si>
  <si>
    <t>监控室8665</t>
  </si>
  <si>
    <t>q</t>
  </si>
  <si>
    <t>ceshi</t>
  </si>
  <si>
    <t>e</t>
  </si>
  <si>
    <t>gg</t>
  </si>
  <si>
    <t>d</t>
  </si>
  <si>
    <t>fgh</t>
  </si>
  <si>
    <t>c</t>
  </si>
  <si>
    <t>b</t>
  </si>
  <si>
    <t>Sdf</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</si>
</sst>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1"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7" fillId="0" borderId="0" applyFont="0" applyFill="0" applyBorder="0" applyAlignment="0" applyProtection="0">
      <alignment vertical="center"/>
    </xf>
    <xf numFmtId="0" fontId="23" fillId="14" borderId="0" applyNumberFormat="0" applyBorder="0" applyAlignment="0" applyProtection="0">
      <alignment vertical="center"/>
    </xf>
    <xf numFmtId="0" fontId="5" fillId="0" borderId="0" applyNumberFormat="0" applyFill="0" applyBorder="0" applyAlignment="0" applyProtection="0">
      <alignment vertical="center"/>
    </xf>
    <xf numFmtId="9" fontId="7" fillId="0" borderId="0" applyFont="0" applyFill="0" applyBorder="0" applyAlignment="0" applyProtection="0">
      <alignment vertical="center"/>
    </xf>
    <xf numFmtId="0" fontId="24" fillId="0" borderId="0" applyNumberFormat="0" applyFill="0" applyBorder="0" applyAlignment="0" applyProtection="0">
      <alignment vertical="center"/>
    </xf>
    <xf numFmtId="0" fontId="7" fillId="15" borderId="2" applyNumberFormat="0" applyFont="0" applyAlignment="0" applyProtection="0">
      <alignment vertical="center"/>
    </xf>
    <xf numFmtId="0" fontId="23"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3" fillId="17" borderId="0" applyNumberFormat="0" applyBorder="0" applyAlignment="0" applyProtection="0">
      <alignment vertical="center"/>
    </xf>
    <xf numFmtId="0" fontId="25" fillId="0" borderId="4" applyNumberFormat="0" applyFill="0" applyAlignment="0" applyProtection="0">
      <alignment vertical="center"/>
    </xf>
    <xf numFmtId="0" fontId="23"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1">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5" fillId="2" borderId="0" xfId="10" applyFill="1" applyAlignment="1">
      <alignment horizontal="center" vertical="center"/>
    </xf>
    <xf numFmtId="14" fontId="0" fillId="0" borderId="0" xfId="0" applyNumberFormat="1">
      <alignment vertical="center"/>
    </xf>
    <xf numFmtId="49" fontId="0" fillId="0" borderId="0" xfId="0" applyNumberFormat="1">
      <alignment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1" fillId="4" borderId="0" xfId="0" applyNumberFormat="1" applyFont="1" applyFill="1" applyAlignment="1" applyProtection="1">
      <alignment horizontal="left" vertical="center"/>
    </xf>
    <xf numFmtId="49" fontId="12" fillId="5" borderId="0" xfId="0" applyNumberFormat="1" applyFont="1" applyFill="1" applyAlignment="1" applyProtection="1">
      <alignment horizontal="right" vertical="center"/>
    </xf>
    <xf numFmtId="49" fontId="12" fillId="6" borderId="0" xfId="0" applyNumberFormat="1" applyFont="1" applyFill="1" applyAlignment="1" applyProtection="1">
      <alignment horizontal="center" vertical="center"/>
    </xf>
    <xf numFmtId="49" fontId="13" fillId="7" borderId="0" xfId="0" applyNumberFormat="1" applyFont="1" applyFill="1" applyAlignment="1" applyProtection="1">
      <alignment horizontal="center" vertical="center" wrapText="1"/>
    </xf>
    <xf numFmtId="0" fontId="14" fillId="7" borderId="0" xfId="0" applyFont="1" applyFill="1" applyAlignment="1" applyProtection="1">
      <alignment horizontal="center" vertical="center" wrapText="1"/>
    </xf>
    <xf numFmtId="176" fontId="15" fillId="7" borderId="0" xfId="0" applyNumberFormat="1" applyFont="1" applyFill="1" applyAlignment="1" applyProtection="1">
      <alignment horizontal="right" vertical="center" indent="1"/>
    </xf>
    <xf numFmtId="0" fontId="16" fillId="7" borderId="0" xfId="0" applyFont="1" applyFill="1" applyAlignment="1" applyProtection="1">
      <alignment horizontal="center" vertical="center" wrapText="1"/>
    </xf>
    <xf numFmtId="49" fontId="14" fillId="7" borderId="0" xfId="0" applyNumberFormat="1" applyFont="1" applyFill="1" applyAlignment="1" applyProtection="1">
      <alignment horizontal="center" vertical="center" wrapText="1"/>
    </xf>
    <xf numFmtId="0" fontId="16" fillId="7" borderId="0" xfId="0" applyFont="1" applyFill="1" applyAlignment="1" applyProtection="1">
      <alignment vertical="center" wrapText="1"/>
    </xf>
    <xf numFmtId="49" fontId="9"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0" fillId="8"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D28" sqref="AD28"/>
    </sheetView>
  </sheetViews>
  <sheetFormatPr defaultColWidth="3.625" defaultRowHeight="17.1" customHeight="1"/>
  <cols>
    <col min="1" max="1" width="3.625" style="34" customWidth="1"/>
    <col min="2" max="16384" width="3.625" style="34"/>
  </cols>
  <sheetData>
    <row r="4" customHeight="1" spans="1:42">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row>
    <row r="5" customHeight="1" spans="1:42">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row>
    <row r="6" customHeight="1" spans="1:42">
      <c r="A6" s="36"/>
      <c r="B6" s="36"/>
      <c r="C6" s="36"/>
      <c r="D6" s="36"/>
      <c r="E6" s="36"/>
      <c r="F6" s="36"/>
      <c r="G6" s="36"/>
      <c r="H6" s="37"/>
      <c r="I6" s="37"/>
      <c r="J6" s="37"/>
      <c r="K6" s="37"/>
      <c r="L6" s="37"/>
      <c r="M6" s="37"/>
      <c r="N6" s="37"/>
      <c r="O6" s="37"/>
      <c r="P6" s="37"/>
      <c r="Q6" s="37"/>
      <c r="R6" s="36"/>
      <c r="S6" s="36"/>
      <c r="T6" s="36"/>
      <c r="U6" s="36"/>
      <c r="V6" s="36"/>
      <c r="W6" s="36"/>
      <c r="X6" s="36"/>
      <c r="Y6" s="36"/>
      <c r="Z6" s="36"/>
      <c r="AA6" s="36"/>
      <c r="AB6" s="36"/>
      <c r="AC6" s="36"/>
      <c r="AD6" s="36"/>
      <c r="AE6" s="36"/>
      <c r="AF6" s="36"/>
      <c r="AG6" s="36"/>
      <c r="AH6" s="36"/>
      <c r="AI6" s="36"/>
      <c r="AJ6" s="36"/>
      <c r="AK6" s="36"/>
      <c r="AL6" s="36"/>
      <c r="AM6" s="36"/>
      <c r="AN6" s="36"/>
      <c r="AO6" s="36"/>
      <c r="AP6" s="36"/>
    </row>
    <row r="7" customHeight="1" spans="5:23">
      <c r="E7" s="38"/>
      <c r="F7" s="38"/>
      <c r="G7" s="38"/>
      <c r="H7" s="39"/>
      <c r="I7" s="39"/>
      <c r="J7" s="39"/>
      <c r="K7" s="39"/>
      <c r="L7" s="39"/>
      <c r="M7" s="39"/>
      <c r="N7" s="40"/>
      <c r="O7" s="40"/>
      <c r="P7" s="40"/>
      <c r="Q7" s="40"/>
      <c r="T7" s="40"/>
      <c r="U7" s="40"/>
      <c r="V7" s="40"/>
      <c r="W7" s="40"/>
    </row>
    <row r="8" customHeight="1" spans="8:23">
      <c r="H8" s="40"/>
      <c r="I8" s="40"/>
      <c r="J8" s="40"/>
      <c r="K8" s="40"/>
      <c r="L8" s="40"/>
      <c r="M8" s="40"/>
      <c r="N8" s="40"/>
      <c r="O8" s="40"/>
      <c r="P8" s="40"/>
      <c r="Q8" s="40"/>
      <c r="T8" s="40"/>
      <c r="U8" s="40"/>
      <c r="V8" s="40"/>
      <c r="W8" s="40"/>
    </row>
    <row r="9" customHeight="1" spans="8:23">
      <c r="H9" s="40"/>
      <c r="I9" s="40"/>
      <c r="J9" s="40"/>
      <c r="K9" s="40"/>
      <c r="L9" s="40"/>
      <c r="M9" s="40"/>
      <c r="N9" s="40"/>
      <c r="O9" s="40"/>
      <c r="P9" s="40"/>
      <c r="Q9" s="40"/>
      <c r="R9" s="40"/>
      <c r="S9" s="40"/>
      <c r="T9" s="40"/>
      <c r="U9" s="40"/>
      <c r="V9" s="40"/>
      <c r="W9" s="40"/>
    </row>
    <row r="10" customHeight="1" spans="17:23">
      <c r="Q10" s="40"/>
      <c r="R10" s="40"/>
      <c r="S10" s="40"/>
      <c r="T10" s="40"/>
      <c r="U10" s="40"/>
      <c r="V10" s="40"/>
      <c r="W10" s="40"/>
    </row>
    <row r="11" customHeight="1" spans="17:23">
      <c r="Q11" s="40"/>
      <c r="R11" s="40"/>
      <c r="S11" s="40"/>
      <c r="T11" s="40"/>
      <c r="U11" s="40"/>
      <c r="V11" s="40"/>
      <c r="W11" s="40"/>
    </row>
    <row r="12" customHeight="1" spans="17:23">
      <c r="Q12" s="40"/>
      <c r="R12" s="40"/>
      <c r="S12" s="40"/>
      <c r="T12" s="40"/>
      <c r="U12" s="40"/>
      <c r="V12" s="40"/>
      <c r="W12" s="40"/>
    </row>
    <row r="13" customHeight="1" spans="17:23">
      <c r="Q13" s="40"/>
      <c r="R13" s="40"/>
      <c r="S13" s="40"/>
      <c r="T13" s="40"/>
      <c r="U13" s="40"/>
      <c r="V13" s="40"/>
      <c r="W13" s="40"/>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6" customWidth="1"/>
    <col min="2" max="2" width="2.625" style="17" customWidth="1"/>
    <col min="3" max="3" width="15.25" style="18" customWidth="1"/>
    <col min="4" max="4" width="19.125" style="19" customWidth="1"/>
    <col min="5" max="5" width="10.5" style="19" customWidth="1"/>
    <col min="6" max="8" width="24.625" style="19" customWidth="1"/>
    <col min="9" max="9" width="2.625" style="17" customWidth="1"/>
    <col min="10" max="10" width="4.25" style="16" customWidth="1"/>
    <col min="11" max="16384" width="9" style="16"/>
  </cols>
  <sheetData>
    <row r="1" s="14" customFormat="1" ht="54.95" customHeight="1" spans="1:10">
      <c r="A1" s="20"/>
      <c r="C1" s="21"/>
      <c r="J1" s="33"/>
    </row>
    <row r="2" ht="15.95" customHeight="1" spans="2:9">
      <c r="B2" s="16"/>
      <c r="C2" s="22"/>
      <c r="D2" s="16"/>
      <c r="E2" s="16"/>
      <c r="F2" s="16"/>
      <c r="G2" s="16"/>
      <c r="H2" s="16"/>
      <c r="I2" s="16"/>
    </row>
    <row r="3" ht="15.95" customHeight="1" spans="3:8">
      <c r="C3" s="23"/>
      <c r="D3" s="17"/>
      <c r="E3" s="17"/>
      <c r="F3" s="17"/>
      <c r="G3" s="17"/>
      <c r="H3" s="17"/>
    </row>
    <row r="4" ht="75.95" customHeight="1" spans="3:8">
      <c r="C4" s="24" t="s">
        <v>0</v>
      </c>
      <c r="D4" s="25"/>
      <c r="E4" s="25"/>
      <c r="F4" s="26">
        <f>D7</f>
        <v>1</v>
      </c>
      <c r="G4" s="27" t="s">
        <v>1</v>
      </c>
      <c r="H4" s="27"/>
    </row>
    <row r="5" ht="6" customHeight="1" spans="3:8">
      <c r="C5" s="28"/>
      <c r="D5" s="25"/>
      <c r="E5" s="25"/>
      <c r="F5" s="29"/>
      <c r="G5" s="29"/>
      <c r="H5" s="29"/>
    </row>
    <row r="6" s="15" customFormat="1" ht="9" customHeight="1" spans="2:9">
      <c r="B6" s="17"/>
      <c r="C6" s="30"/>
      <c r="D6" s="31"/>
      <c r="E6" s="31"/>
      <c r="F6" s="32"/>
      <c r="G6" s="32"/>
      <c r="H6" s="32"/>
      <c r="I6" s="17"/>
    </row>
    <row r="7" hidden="1" customHeight="1" spans="2:4">
      <c r="B7" s="17" t="s">
        <v>2</v>
      </c>
      <c r="D7" s="19">
        <v>1</v>
      </c>
    </row>
    <row r="8" customHeight="1" spans="3:4">
      <c r="C8" s="18" t="s">
        <v>3</v>
      </c>
      <c r="D8" s="19" t="s">
        <v>4</v>
      </c>
    </row>
    <row r="9" customHeight="1" spans="3:4">
      <c r="C9" s="18" t="s">
        <v>5</v>
      </c>
      <c r="D9" s="19" t="s">
        <v>6</v>
      </c>
    </row>
    <row r="10" customHeight="1" spans="3:4">
      <c r="C10" s="18" t="s">
        <v>7</v>
      </c>
      <c r="D10" s="19" t="s">
        <v>8</v>
      </c>
    </row>
    <row r="11" customHeight="1" spans="3:4">
      <c r="C11" s="18" t="s">
        <v>9</v>
      </c>
      <c r="D11" s="19" t="s">
        <v>10</v>
      </c>
    </row>
    <row r="18" hidden="1" customHeight="1" spans="3:4">
      <c r="C18" s="18" t="s">
        <v>3</v>
      </c>
      <c r="D18" s="19" t="s">
        <v>11</v>
      </c>
    </row>
    <row r="19" hidden="1" customHeight="1" spans="3:4">
      <c r="C19" s="18" t="s">
        <v>5</v>
      </c>
      <c r="D19" s="19" t="s">
        <v>12</v>
      </c>
    </row>
    <row r="20" hidden="1" customHeight="1" spans="3:4">
      <c r="C20" s="18" t="s">
        <v>7</v>
      </c>
      <c r="D20" s="19" t="s">
        <v>13</v>
      </c>
    </row>
    <row r="21" hidden="1" customHeight="1"/>
    <row r="22" hidden="1" customHeight="1"/>
    <row r="23" hidden="1" customHeight="1"/>
    <row r="24" hidden="1" customHeight="1"/>
    <row r="25" hidden="1" customHeight="1"/>
    <row r="26" hidden="1" customHeight="1"/>
    <row r="27" hidden="1" customHeight="1"/>
    <row r="28" hidden="1" customHeight="1" spans="3:4">
      <c r="C28" s="18" t="s">
        <v>3</v>
      </c>
      <c r="D28" s="19" t="s">
        <v>14</v>
      </c>
    </row>
    <row r="29" hidden="1" customHeight="1" spans="3:4">
      <c r="C29" s="18" t="s">
        <v>5</v>
      </c>
      <c r="D29" s="19" t="s">
        <v>6</v>
      </c>
    </row>
    <row r="30" hidden="1" customHeight="1" spans="3:4">
      <c r="C30" s="18" t="s">
        <v>7</v>
      </c>
      <c r="D30" s="19" t="s">
        <v>15</v>
      </c>
    </row>
    <row r="31" hidden="1" customHeight="1" spans="3:4">
      <c r="C31" s="18" t="s">
        <v>9</v>
      </c>
      <c r="D31" s="19" t="s">
        <v>10</v>
      </c>
    </row>
    <row r="32" hidden="1" customHeight="1"/>
    <row r="33" hidden="1" customHeight="1"/>
    <row r="34" hidden="1" customHeight="1"/>
    <row r="35" hidden="1" customHeight="1"/>
    <row r="36" hidden="1" customHeight="1"/>
    <row r="37" hidden="1" customHeight="1"/>
    <row r="38" hidden="1" customHeight="1" spans="3:4">
      <c r="C38" s="18" t="s">
        <v>3</v>
      </c>
      <c r="D38" s="19"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8" t="s">
        <v>3</v>
      </c>
      <c r="D48" s="19" t="s">
        <v>17</v>
      </c>
    </row>
    <row r="49" hidden="1" customHeight="1" spans="3:4">
      <c r="C49" s="18" t="s">
        <v>5</v>
      </c>
      <c r="D49" s="19" t="s">
        <v>18</v>
      </c>
    </row>
    <row r="50" hidden="1" customHeight="1" spans="3:4">
      <c r="C50" s="18" t="s">
        <v>7</v>
      </c>
      <c r="D50" s="19" t="s">
        <v>19</v>
      </c>
    </row>
    <row r="51" hidden="1" customHeight="1"/>
    <row r="52" hidden="1" customHeight="1"/>
    <row r="53" hidden="1" customHeight="1"/>
    <row r="54" hidden="1" customHeight="1"/>
    <row r="55" hidden="1" customHeight="1"/>
    <row r="56" hidden="1" customHeight="1"/>
    <row r="57" hidden="1" customHeight="1"/>
    <row r="58" hidden="1" customHeight="1" spans="3:4">
      <c r="C58" s="18" t="s">
        <v>3</v>
      </c>
      <c r="D58" s="19" t="s">
        <v>20</v>
      </c>
    </row>
    <row r="59" hidden="1" customHeight="1" spans="4:4">
      <c r="D59" s="19"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8" t="s">
        <v>3</v>
      </c>
      <c r="D68" s="19" t="s">
        <v>22</v>
      </c>
    </row>
    <row r="69" hidden="1" customHeight="1" spans="3:4">
      <c r="C69" s="18" t="s">
        <v>5</v>
      </c>
      <c r="D69" s="19" t="s">
        <v>23</v>
      </c>
    </row>
    <row r="70" hidden="1" customHeight="1" spans="3:4">
      <c r="C70" s="18" t="s">
        <v>7</v>
      </c>
      <c r="D70" s="19" t="s">
        <v>24</v>
      </c>
    </row>
    <row r="71" hidden="1" customHeight="1" spans="3:4">
      <c r="C71" s="18" t="s">
        <v>9</v>
      </c>
      <c r="D71" s="19" t="s">
        <v>25</v>
      </c>
    </row>
    <row r="72" hidden="1" customHeight="1"/>
    <row r="73" hidden="1" customHeight="1"/>
    <row r="74" hidden="1" customHeight="1"/>
    <row r="75" hidden="1" customHeight="1"/>
    <row r="76" hidden="1" customHeight="1"/>
    <row r="77" hidden="1" customHeight="1"/>
    <row r="78" hidden="1" customHeight="1" spans="3:3">
      <c r="C78" s="1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B13" sqref="B13"/>
    </sheetView>
  </sheetViews>
  <sheetFormatPr defaultColWidth="9" defaultRowHeight="14.25" outlineLevelCol="5"/>
  <cols>
    <col min="1" max="1" width="22.125" customWidth="1"/>
    <col min="6" max="6" width="16.125" customWidth="1"/>
  </cols>
  <sheetData>
    <row r="1" spans="1:1">
      <c r="A1" s="12">
        <v>58441</v>
      </c>
    </row>
    <row r="3" spans="1:6">
      <c r="A3" t="s">
        <v>26</v>
      </c>
      <c r="B3" t="s">
        <v>27</v>
      </c>
      <c r="C3" t="s">
        <v>28</v>
      </c>
      <c r="D3" t="s">
        <v>28</v>
      </c>
      <c r="E3" t="s">
        <v>29</v>
      </c>
      <c r="F3" s="13"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13"/>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40</v>
      </c>
      <c r="L3" s="10"/>
    </row>
    <row r="4" s="1" customFormat="1" ht="30" customHeight="1" spans="3:12">
      <c r="C4" s="5" t="s">
        <v>41</v>
      </c>
      <c r="D4" s="5" t="s">
        <v>42</v>
      </c>
      <c r="E4" s="5" t="s">
        <v>43</v>
      </c>
      <c r="F4" s="5" t="s">
        <v>44</v>
      </c>
      <c r="G4" s="5" t="s">
        <v>45</v>
      </c>
      <c r="H4" s="5" t="s">
        <v>46</v>
      </c>
      <c r="I4" s="5" t="s">
        <v>47</v>
      </c>
      <c r="J4" s="5" t="s">
        <v>48</v>
      </c>
      <c r="K4" s="5" t="s">
        <v>49</v>
      </c>
      <c r="L4" s="10"/>
    </row>
    <row r="5" customHeight="1" spans="2:12">
      <c r="B5" s="2">
        <v>300</v>
      </c>
      <c r="C5" s="3">
        <v>1</v>
      </c>
      <c r="D5" s="3" t="s">
        <v>27</v>
      </c>
      <c r="E5" s="3" t="s">
        <v>28</v>
      </c>
      <c r="F5" s="3" t="s">
        <v>28</v>
      </c>
      <c r="G5" s="3" t="s">
        <v>29</v>
      </c>
      <c r="H5" s="3" t="s">
        <v>50</v>
      </c>
      <c r="I5" s="11" t="s">
        <v>51</v>
      </c>
      <c r="J5" s="3">
        <v>18888888888</v>
      </c>
      <c r="K5" s="3">
        <v>457853</v>
      </c>
      <c r="L5" s="9" t="s">
        <v>30</v>
      </c>
    </row>
    <row r="6" customHeight="1" spans="2:12">
      <c r="B6" s="2">
        <v>721</v>
      </c>
      <c r="C6" s="3">
        <v>2</v>
      </c>
      <c r="D6" s="3" t="s">
        <v>52</v>
      </c>
      <c r="E6" s="3" t="s">
        <v>53</v>
      </c>
      <c r="F6" s="3">
        <v>123</v>
      </c>
      <c r="G6" s="3" t="s">
        <v>29</v>
      </c>
      <c r="H6" s="3" t="s">
        <v>54</v>
      </c>
      <c r="I6" s="11" t="s">
        <v>55</v>
      </c>
      <c r="J6" s="3">
        <v>13333333333</v>
      </c>
      <c r="K6" s="3">
        <v>123123</v>
      </c>
      <c r="L6" s="9" t="s">
        <v>56</v>
      </c>
    </row>
    <row r="7" customHeight="1" spans="2:12">
      <c r="B7" s="2">
        <v>723</v>
      </c>
      <c r="C7" s="3">
        <v>3</v>
      </c>
      <c r="D7" s="3" t="s">
        <v>57</v>
      </c>
      <c r="E7" s="3" t="s">
        <v>58</v>
      </c>
      <c r="F7" s="3">
        <v>123123</v>
      </c>
      <c r="G7" s="3" t="s">
        <v>29</v>
      </c>
      <c r="H7" s="3" t="s">
        <v>50</v>
      </c>
      <c r="I7" s="11" t="s">
        <v>59</v>
      </c>
      <c r="J7" s="3">
        <v>13444444444</v>
      </c>
      <c r="K7" s="3">
        <v>457853</v>
      </c>
      <c r="L7" s="9" t="s">
        <v>60</v>
      </c>
    </row>
    <row r="8" customHeight="1" spans="2:12">
      <c r="B8" s="2">
        <v>724</v>
      </c>
      <c r="C8" s="3">
        <v>4</v>
      </c>
      <c r="D8" s="3" t="s">
        <v>61</v>
      </c>
      <c r="E8" s="3" t="s">
        <v>62</v>
      </c>
      <c r="F8" s="3">
        <v>123123</v>
      </c>
      <c r="G8" s="3" t="s">
        <v>29</v>
      </c>
      <c r="H8" s="3" t="s">
        <v>54</v>
      </c>
      <c r="I8" s="11" t="s">
        <v>63</v>
      </c>
      <c r="J8" s="3">
        <v>12333333333</v>
      </c>
      <c r="K8" s="3">
        <v>123123</v>
      </c>
      <c r="L8" s="9" t="s">
        <v>64</v>
      </c>
    </row>
    <row r="9" customHeight="1" spans="2:12">
      <c r="B9" s="2">
        <v>725</v>
      </c>
      <c r="C9" s="3">
        <v>5</v>
      </c>
      <c r="D9" s="3" t="s">
        <v>65</v>
      </c>
      <c r="E9" s="3" t="s">
        <v>66</v>
      </c>
      <c r="F9" s="3">
        <v>123123</v>
      </c>
      <c r="G9" s="3" t="s">
        <v>29</v>
      </c>
      <c r="H9" s="3" t="s">
        <v>50</v>
      </c>
      <c r="I9" s="11" t="s">
        <v>67</v>
      </c>
      <c r="J9" s="3">
        <v>14555555555</v>
      </c>
      <c r="K9" s="3">
        <v>457853</v>
      </c>
      <c r="L9" s="9" t="s">
        <v>68</v>
      </c>
    </row>
    <row r="10" customHeight="1" spans="2:12">
      <c r="B10" s="2">
        <v>726</v>
      </c>
      <c r="C10" s="3">
        <v>6</v>
      </c>
      <c r="D10" s="3" t="s">
        <v>69</v>
      </c>
      <c r="E10" s="3" t="s">
        <v>70</v>
      </c>
      <c r="F10" s="3">
        <v>123123</v>
      </c>
      <c r="G10" s="3" t="s">
        <v>29</v>
      </c>
      <c r="H10" s="3" t="s">
        <v>54</v>
      </c>
      <c r="I10" s="11" t="s">
        <v>71</v>
      </c>
      <c r="J10" s="3">
        <v>12322222222</v>
      </c>
      <c r="K10" s="3">
        <v>123123</v>
      </c>
      <c r="L10" s="9" t="s">
        <v>72</v>
      </c>
    </row>
    <row r="11" customHeight="1" spans="2:12">
      <c r="B11" s="2">
        <v>727</v>
      </c>
      <c r="C11" s="3">
        <v>7</v>
      </c>
      <c r="D11" s="3" t="s">
        <v>73</v>
      </c>
      <c r="E11" s="3" t="s">
        <v>74</v>
      </c>
      <c r="F11" s="3">
        <v>123123</v>
      </c>
      <c r="G11" s="3" t="s">
        <v>29</v>
      </c>
      <c r="H11" s="3" t="s">
        <v>50</v>
      </c>
      <c r="I11" s="11" t="s">
        <v>75</v>
      </c>
      <c r="J11" s="3">
        <v>12222344556</v>
      </c>
      <c r="K11" s="3">
        <v>457853</v>
      </c>
      <c r="L11" s="9" t="s">
        <v>76</v>
      </c>
    </row>
    <row r="12" customHeight="1" spans="2:12">
      <c r="B12" s="2">
        <v>728</v>
      </c>
      <c r="C12" s="3">
        <v>8</v>
      </c>
      <c r="D12" s="3" t="s">
        <v>77</v>
      </c>
      <c r="E12" s="3" t="s">
        <v>78</v>
      </c>
      <c r="F12" s="3">
        <v>123123</v>
      </c>
      <c r="G12" s="3" t="s">
        <v>29</v>
      </c>
      <c r="H12" s="3" t="s">
        <v>54</v>
      </c>
      <c r="I12" s="11" t="s">
        <v>79</v>
      </c>
      <c r="J12" s="3">
        <v>15645643322</v>
      </c>
      <c r="K12" s="3">
        <v>123123</v>
      </c>
      <c r="L12" s="9" t="s">
        <v>80</v>
      </c>
    </row>
    <row r="13" customHeight="1" spans="2:12">
      <c r="B13" s="2">
        <v>751</v>
      </c>
      <c r="C13" s="3">
        <v>9</v>
      </c>
      <c r="D13" s="3" t="s">
        <v>81</v>
      </c>
      <c r="E13" s="3" t="s">
        <v>82</v>
      </c>
      <c r="F13" s="3">
        <v>321321</v>
      </c>
      <c r="G13" s="3" t="s">
        <v>29</v>
      </c>
      <c r="H13" s="3" t="s">
        <v>50</v>
      </c>
      <c r="L13" s="9" t="s">
        <v>83</v>
      </c>
    </row>
  </sheetData>
  <autoFilter ref="C4:K12">
    <extLst/>
  </autoFilter>
  <conditionalFormatting sqref="C5:K1048576">
    <cfRule type="expression" dxfId="0" priority="1">
      <formula>MOD(ROW(),2)=0</formula>
    </cfRule>
  </conditionalFormatting>
  <dataValidations count="1">
    <dataValidation type="list" allowBlank="1" showInputMessage="1" showErrorMessage="1" sqref="H5 H6 H7 H8 H9 H10 H11 H12 H13: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4"/>
  <sheetViews>
    <sheetView showGridLines="0" workbookViewId="0">
      <pane ySplit="4" topLeftCell="A5" activePane="bottomLeft" state="frozen"/>
      <selection/>
      <selection pane="bottomLeft" activeCell="J21" sqref="J21"/>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84</v>
      </c>
      <c r="DB3" s="10"/>
    </row>
    <row r="4" s="1" customFormat="1" ht="30" customHeight="1" spans="3:106">
      <c r="C4" s="5" t="s">
        <v>41</v>
      </c>
      <c r="D4" s="5" t="s">
        <v>42</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146</v>
      </c>
      <c r="BO4" s="5" t="s">
        <v>147</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c r="CY4" s="5" t="s">
        <v>182</v>
      </c>
      <c r="CZ4" s="5" t="s">
        <v>183</v>
      </c>
      <c r="DA4" s="5" t="s">
        <v>184</v>
      </c>
      <c r="DB4" s="10"/>
    </row>
    <row r="5" s="2" customFormat="1" customHeight="1" spans="2:106">
      <c r="B5" s="2">
        <v>176</v>
      </c>
      <c r="C5" s="3">
        <v>1</v>
      </c>
      <c r="D5" s="3" t="s">
        <v>27</v>
      </c>
      <c r="E5" s="3" t="s">
        <v>185</v>
      </c>
      <c r="F5" s="3" t="s">
        <v>185</v>
      </c>
      <c r="G5" s="3" t="s">
        <v>185</v>
      </c>
      <c r="H5" s="3" t="s">
        <v>185</v>
      </c>
      <c r="I5" s="3" t="s">
        <v>185</v>
      </c>
      <c r="J5" s="3" t="s">
        <v>185</v>
      </c>
      <c r="K5" s="3" t="s">
        <v>185</v>
      </c>
      <c r="L5" s="3" t="s">
        <v>185</v>
      </c>
      <c r="M5" s="3" t="s">
        <v>185</v>
      </c>
      <c r="N5" s="3" t="s">
        <v>185</v>
      </c>
      <c r="O5" s="3" t="s">
        <v>185</v>
      </c>
      <c r="P5" s="3" t="s">
        <v>185</v>
      </c>
      <c r="Q5" s="3" t="s">
        <v>185</v>
      </c>
      <c r="R5" s="3" t="s">
        <v>185</v>
      </c>
      <c r="S5" s="3" t="s">
        <v>185</v>
      </c>
      <c r="T5" s="3" t="s">
        <v>185</v>
      </c>
      <c r="U5" s="3" t="s">
        <v>185</v>
      </c>
      <c r="V5" s="3" t="s">
        <v>185</v>
      </c>
      <c r="W5" s="3" t="s">
        <v>185</v>
      </c>
      <c r="X5" s="3" t="s">
        <v>185</v>
      </c>
      <c r="Y5" s="3" t="s">
        <v>185</v>
      </c>
      <c r="Z5" s="3" t="s">
        <v>185</v>
      </c>
      <c r="AA5" s="3" t="s">
        <v>185</v>
      </c>
      <c r="AB5" s="3" t="s">
        <v>185</v>
      </c>
      <c r="AC5" s="3" t="s">
        <v>185</v>
      </c>
      <c r="AD5" s="3" t="s">
        <v>185</v>
      </c>
      <c r="AE5" s="3" t="s">
        <v>185</v>
      </c>
      <c r="AF5" s="3" t="s">
        <v>185</v>
      </c>
      <c r="AG5" s="3" t="s">
        <v>185</v>
      </c>
      <c r="AH5" s="3" t="s">
        <v>185</v>
      </c>
      <c r="AI5" s="3" t="s">
        <v>185</v>
      </c>
      <c r="AJ5" s="3" t="s">
        <v>185</v>
      </c>
      <c r="AK5" s="3" t="s">
        <v>185</v>
      </c>
      <c r="AL5" s="3" t="s">
        <v>185</v>
      </c>
      <c r="AM5" s="3" t="s">
        <v>185</v>
      </c>
      <c r="AN5" s="3" t="s">
        <v>185</v>
      </c>
      <c r="AO5" s="3" t="s">
        <v>185</v>
      </c>
      <c r="AP5" s="3" t="s">
        <v>185</v>
      </c>
      <c r="AQ5" s="3" t="s">
        <v>185</v>
      </c>
      <c r="AR5" s="3" t="s">
        <v>185</v>
      </c>
      <c r="AS5" s="3" t="s">
        <v>185</v>
      </c>
      <c r="AT5" s="3" t="s">
        <v>185</v>
      </c>
      <c r="AU5" s="3" t="s">
        <v>185</v>
      </c>
      <c r="AV5" s="3" t="s">
        <v>185</v>
      </c>
      <c r="AW5" s="3" t="s">
        <v>185</v>
      </c>
      <c r="AX5" s="3" t="s">
        <v>185</v>
      </c>
      <c r="AY5" s="3" t="s">
        <v>185</v>
      </c>
      <c r="AZ5" s="3" t="s">
        <v>185</v>
      </c>
      <c r="BA5" s="3" t="s">
        <v>185</v>
      </c>
      <c r="BB5" s="3" t="s">
        <v>185</v>
      </c>
      <c r="BC5" s="3" t="s">
        <v>186</v>
      </c>
      <c r="BD5" s="3" t="s">
        <v>185</v>
      </c>
      <c r="BE5" s="3" t="s">
        <v>185</v>
      </c>
      <c r="BF5" s="3" t="s">
        <v>185</v>
      </c>
      <c r="BG5" s="3" t="s">
        <v>185</v>
      </c>
      <c r="BH5" s="3" t="s">
        <v>185</v>
      </c>
      <c r="BI5" s="3" t="s">
        <v>185</v>
      </c>
      <c r="BJ5" s="3" t="s">
        <v>185</v>
      </c>
      <c r="BK5" s="3" t="s">
        <v>185</v>
      </c>
      <c r="BL5" s="3" t="s">
        <v>185</v>
      </c>
      <c r="BM5" s="3" t="s">
        <v>185</v>
      </c>
      <c r="BN5" s="3" t="s">
        <v>185</v>
      </c>
      <c r="BO5" s="3" t="s">
        <v>185</v>
      </c>
      <c r="BP5" s="3" t="s">
        <v>185</v>
      </c>
      <c r="BQ5" s="3" t="s">
        <v>185</v>
      </c>
      <c r="BR5" s="3" t="s">
        <v>185</v>
      </c>
      <c r="BS5" s="3" t="s">
        <v>185</v>
      </c>
      <c r="BT5" s="3" t="s">
        <v>185</v>
      </c>
      <c r="BU5" s="3" t="s">
        <v>185</v>
      </c>
      <c r="BV5" s="3" t="s">
        <v>185</v>
      </c>
      <c r="BW5" s="3" t="s">
        <v>185</v>
      </c>
      <c r="BX5" s="3" t="s">
        <v>185</v>
      </c>
      <c r="BY5" s="3" t="s">
        <v>185</v>
      </c>
      <c r="BZ5" s="3" t="s">
        <v>185</v>
      </c>
      <c r="CA5" s="3" t="s">
        <v>185</v>
      </c>
      <c r="CB5" s="3" t="s">
        <v>185</v>
      </c>
      <c r="CC5" s="3" t="s">
        <v>185</v>
      </c>
      <c r="CD5" s="3" t="s">
        <v>185</v>
      </c>
      <c r="CE5" s="3" t="s">
        <v>185</v>
      </c>
      <c r="CF5" s="3" t="s">
        <v>185</v>
      </c>
      <c r="CG5" s="3" t="s">
        <v>185</v>
      </c>
      <c r="CH5" s="3" t="s">
        <v>185</v>
      </c>
      <c r="CI5" s="3" t="s">
        <v>185</v>
      </c>
      <c r="CJ5" s="3" t="s">
        <v>185</v>
      </c>
      <c r="CK5" s="3" t="s">
        <v>185</v>
      </c>
      <c r="CL5" s="3" t="s">
        <v>185</v>
      </c>
      <c r="CM5" s="3" t="s">
        <v>185</v>
      </c>
      <c r="CN5" s="3" t="s">
        <v>185</v>
      </c>
      <c r="CO5" s="3" t="s">
        <v>185</v>
      </c>
      <c r="CP5" s="3" t="s">
        <v>185</v>
      </c>
      <c r="CQ5" s="3" t="s">
        <v>185</v>
      </c>
      <c r="CR5" s="3" t="s">
        <v>185</v>
      </c>
      <c r="CS5" s="3" t="s">
        <v>185</v>
      </c>
      <c r="CT5" s="3" t="s">
        <v>185</v>
      </c>
      <c r="CU5" s="3" t="s">
        <v>185</v>
      </c>
      <c r="CV5" s="3" t="s">
        <v>185</v>
      </c>
      <c r="CW5" s="3" t="s">
        <v>185</v>
      </c>
      <c r="CX5" s="3" t="s">
        <v>185</v>
      </c>
      <c r="CY5" s="3" t="s">
        <v>185</v>
      </c>
      <c r="CZ5" s="3" t="s">
        <v>185</v>
      </c>
      <c r="DA5" s="3" t="s">
        <v>187</v>
      </c>
      <c r="DB5" s="9" t="s">
        <v>30</v>
      </c>
    </row>
    <row r="6" s="2" customFormat="1" customHeight="1" spans="2:106">
      <c r="B6" s="2">
        <v>802</v>
      </c>
      <c r="C6" s="3">
        <v>2</v>
      </c>
      <c r="D6" s="3" t="s">
        <v>188</v>
      </c>
      <c r="E6" s="3" t="s">
        <v>185</v>
      </c>
      <c r="F6" s="3" t="s">
        <v>185</v>
      </c>
      <c r="G6" s="3" t="s">
        <v>185</v>
      </c>
      <c r="H6" s="3" t="s">
        <v>185</v>
      </c>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187</v>
      </c>
      <c r="DB6" s="9" t="s">
        <v>56</v>
      </c>
    </row>
    <row r="7" s="2" customFormat="1" customHeight="1" spans="2:106">
      <c r="B7" s="2">
        <v>811</v>
      </c>
      <c r="C7" s="3">
        <v>3</v>
      </c>
      <c r="D7" s="3" t="s">
        <v>57</v>
      </c>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187</v>
      </c>
      <c r="DB7" s="9" t="s">
        <v>60</v>
      </c>
    </row>
    <row r="8" s="2" customFormat="1" customHeight="1" spans="2:106">
      <c r="B8" s="2">
        <v>812</v>
      </c>
      <c r="C8" s="3">
        <v>4</v>
      </c>
      <c r="D8" s="3" t="s">
        <v>61</v>
      </c>
      <c r="E8" s="3" t="s">
        <v>186</v>
      </c>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187</v>
      </c>
      <c r="DB8" s="9" t="s">
        <v>64</v>
      </c>
    </row>
    <row r="9" s="2" customFormat="1" customHeight="1" spans="2:106">
      <c r="B9" s="2">
        <v>813</v>
      </c>
      <c r="C9" s="3">
        <v>5</v>
      </c>
      <c r="D9" s="3" t="s">
        <v>65</v>
      </c>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187</v>
      </c>
      <c r="DB9" s="9" t="s">
        <v>68</v>
      </c>
    </row>
    <row r="10" s="2" customFormat="1" customHeight="1" spans="2:106">
      <c r="B10" s="2">
        <v>814</v>
      </c>
      <c r="C10" s="3">
        <v>6</v>
      </c>
      <c r="D10" s="3" t="s">
        <v>69</v>
      </c>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187</v>
      </c>
      <c r="DB10" s="9" t="s">
        <v>72</v>
      </c>
    </row>
    <row r="11" s="2" customFormat="1" customHeight="1" spans="2:106">
      <c r="B11" s="2">
        <v>815</v>
      </c>
      <c r="C11" s="3">
        <v>7</v>
      </c>
      <c r="D11" s="3" t="s">
        <v>73</v>
      </c>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187</v>
      </c>
      <c r="DB11" s="9" t="s">
        <v>76</v>
      </c>
    </row>
    <row r="12" s="2" customFormat="1" customHeight="1" spans="2:106">
      <c r="B12" s="2">
        <v>816</v>
      </c>
      <c r="C12" s="3">
        <v>8</v>
      </c>
      <c r="D12" s="3" t="s">
        <v>77</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187</v>
      </c>
      <c r="DB12" s="9" t="s">
        <v>80</v>
      </c>
    </row>
    <row r="13" customHeight="1" spans="2:106">
      <c r="B13" s="2">
        <v>853</v>
      </c>
      <c r="C13" s="3">
        <v>9</v>
      </c>
      <c r="D13" s="3" t="s">
        <v>189</v>
      </c>
      <c r="DA13" s="3" t="s">
        <v>187</v>
      </c>
      <c r="DB13" s="9" t="s">
        <v>190</v>
      </c>
    </row>
    <row r="14" customHeight="1" spans="2:106">
      <c r="B14" s="2">
        <v>859</v>
      </c>
      <c r="C14" s="3">
        <v>10</v>
      </c>
      <c r="D14" s="3" t="s">
        <v>81</v>
      </c>
      <c r="DA14" s="3" t="s">
        <v>187</v>
      </c>
      <c r="DB14" s="9" t="s">
        <v>83</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3"/>
  <sheetViews>
    <sheetView showGridLines="0" workbookViewId="0">
      <pane ySplit="4" topLeftCell="A5" activePane="bottomLeft" state="frozen"/>
      <selection/>
      <selection pane="bottomLeft" activeCell="F5" sqref="F5"/>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191</v>
      </c>
    </row>
    <row r="4" s="1" customFormat="1" ht="30" customHeight="1" spans="3:9">
      <c r="C4" s="5" t="s">
        <v>41</v>
      </c>
      <c r="D4" s="5" t="s">
        <v>45</v>
      </c>
      <c r="E4" s="5" t="s">
        <v>192</v>
      </c>
      <c r="F4" s="5" t="s">
        <v>193</v>
      </c>
      <c r="G4" s="5" t="s">
        <v>194</v>
      </c>
      <c r="H4" s="5" t="s">
        <v>195</v>
      </c>
      <c r="I4" s="5" t="s">
        <v>196</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72</v>
      </c>
      <c r="C13" s="3">
        <v>9</v>
      </c>
      <c r="D13" s="3" t="s">
        <v>29</v>
      </c>
      <c r="E13" s="3" t="s">
        <v>39</v>
      </c>
      <c r="F13" s="3" t="s">
        <v>32</v>
      </c>
      <c r="G13" s="3" t="s">
        <v>32</v>
      </c>
      <c r="H13" s="3" t="s">
        <v>32</v>
      </c>
      <c r="I13" s="3" t="s">
        <v>32</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P9" sqref="P9"/>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197</v>
      </c>
    </row>
    <row r="4" s="1" customFormat="1" ht="30" customHeight="1" spans="3:104">
      <c r="C4" s="5" t="s">
        <v>41</v>
      </c>
      <c r="D4" s="5" t="s">
        <v>198</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146</v>
      </c>
      <c r="BO4" s="5" t="s">
        <v>147</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c r="CY4" s="5" t="s">
        <v>182</v>
      </c>
      <c r="CZ4" s="5" t="s">
        <v>183</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M17" sqref="M17"/>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199</v>
      </c>
    </row>
    <row r="4" s="1" customFormat="1" ht="30" customHeight="1" spans="3:104">
      <c r="C4" s="5" t="s">
        <v>41</v>
      </c>
      <c r="D4" s="5" t="s">
        <v>198</v>
      </c>
      <c r="E4" s="5" t="s">
        <v>85</v>
      </c>
      <c r="F4" s="5" t="s">
        <v>86</v>
      </c>
      <c r="G4" s="5" t="s">
        <v>87</v>
      </c>
      <c r="H4" s="5" t="s">
        <v>88</v>
      </c>
      <c r="I4" s="5" t="s">
        <v>89</v>
      </c>
      <c r="J4" s="5" t="s">
        <v>90</v>
      </c>
      <c r="K4" s="5" t="s">
        <v>91</v>
      </c>
      <c r="L4" s="5" t="s">
        <v>92</v>
      </c>
      <c r="M4" s="5" t="s">
        <v>93</v>
      </c>
      <c r="N4" s="5" t="s">
        <v>94</v>
      </c>
      <c r="O4" s="5" t="s">
        <v>95</v>
      </c>
      <c r="P4" s="5" t="s">
        <v>96</v>
      </c>
      <c r="Q4" s="5" t="s">
        <v>97</v>
      </c>
      <c r="R4" s="5" t="s">
        <v>98</v>
      </c>
      <c r="S4" s="5" t="s">
        <v>99</v>
      </c>
      <c r="T4" s="5" t="s">
        <v>100</v>
      </c>
      <c r="U4" s="5" t="s">
        <v>101</v>
      </c>
      <c r="V4" s="5" t="s">
        <v>102</v>
      </c>
      <c r="W4" s="5" t="s">
        <v>103</v>
      </c>
      <c r="X4" s="5" t="s">
        <v>104</v>
      </c>
      <c r="Y4" s="5" t="s">
        <v>105</v>
      </c>
      <c r="Z4" s="5" t="s">
        <v>106</v>
      </c>
      <c r="AA4" s="5" t="s">
        <v>107</v>
      </c>
      <c r="AB4" s="5" t="s">
        <v>108</v>
      </c>
      <c r="AC4" s="5" t="s">
        <v>109</v>
      </c>
      <c r="AD4" s="5" t="s">
        <v>110</v>
      </c>
      <c r="AE4" s="5" t="s">
        <v>111</v>
      </c>
      <c r="AF4" s="5" t="s">
        <v>112</v>
      </c>
      <c r="AG4" s="5" t="s">
        <v>113</v>
      </c>
      <c r="AH4" s="5" t="s">
        <v>114</v>
      </c>
      <c r="AI4" s="5" t="s">
        <v>115</v>
      </c>
      <c r="AJ4" s="5" t="s">
        <v>116</v>
      </c>
      <c r="AK4" s="5" t="s">
        <v>117</v>
      </c>
      <c r="AL4" s="5" t="s">
        <v>118</v>
      </c>
      <c r="AM4" s="5" t="s">
        <v>119</v>
      </c>
      <c r="AN4" s="5" t="s">
        <v>120</v>
      </c>
      <c r="AO4" s="5" t="s">
        <v>121</v>
      </c>
      <c r="AP4" s="5" t="s">
        <v>122</v>
      </c>
      <c r="AQ4" s="5" t="s">
        <v>123</v>
      </c>
      <c r="AR4" s="5" t="s">
        <v>124</v>
      </c>
      <c r="AS4" s="5" t="s">
        <v>125</v>
      </c>
      <c r="AT4" s="5" t="s">
        <v>126</v>
      </c>
      <c r="AU4" s="5" t="s">
        <v>127</v>
      </c>
      <c r="AV4" s="5" t="s">
        <v>128</v>
      </c>
      <c r="AW4" s="5" t="s">
        <v>129</v>
      </c>
      <c r="AX4" s="5" t="s">
        <v>130</v>
      </c>
      <c r="AY4" s="5" t="s">
        <v>131</v>
      </c>
      <c r="AZ4" s="5" t="s">
        <v>132</v>
      </c>
      <c r="BA4" s="5" t="s">
        <v>133</v>
      </c>
      <c r="BB4" s="5" t="s">
        <v>134</v>
      </c>
      <c r="BC4" s="5" t="s">
        <v>135</v>
      </c>
      <c r="BD4" s="5" t="s">
        <v>136</v>
      </c>
      <c r="BE4" s="5" t="s">
        <v>137</v>
      </c>
      <c r="BF4" s="5" t="s">
        <v>138</v>
      </c>
      <c r="BG4" s="5" t="s">
        <v>139</v>
      </c>
      <c r="BH4" s="5" t="s">
        <v>140</v>
      </c>
      <c r="BI4" s="5" t="s">
        <v>141</v>
      </c>
      <c r="BJ4" s="5" t="s">
        <v>142</v>
      </c>
      <c r="BK4" s="5" t="s">
        <v>143</v>
      </c>
      <c r="BL4" s="5" t="s">
        <v>144</v>
      </c>
      <c r="BM4" s="5" t="s">
        <v>145</v>
      </c>
      <c r="BN4" s="5" t="s">
        <v>146</v>
      </c>
      <c r="BO4" s="5" t="s">
        <v>147</v>
      </c>
      <c r="BP4" s="5" t="s">
        <v>147</v>
      </c>
      <c r="BQ4" s="5" t="s">
        <v>148</v>
      </c>
      <c r="BR4" s="5" t="s">
        <v>149</v>
      </c>
      <c r="BS4" s="5" t="s">
        <v>150</v>
      </c>
      <c r="BT4" s="5" t="s">
        <v>151</v>
      </c>
      <c r="BU4" s="5" t="s">
        <v>152</v>
      </c>
      <c r="BV4" s="5" t="s">
        <v>153</v>
      </c>
      <c r="BW4" s="5" t="s">
        <v>154</v>
      </c>
      <c r="BX4" s="5" t="s">
        <v>155</v>
      </c>
      <c r="BY4" s="5" t="s">
        <v>156</v>
      </c>
      <c r="BZ4" s="5" t="s">
        <v>157</v>
      </c>
      <c r="CA4" s="5" t="s">
        <v>158</v>
      </c>
      <c r="CB4" s="5" t="s">
        <v>159</v>
      </c>
      <c r="CC4" s="5" t="s">
        <v>160</v>
      </c>
      <c r="CD4" s="5" t="s">
        <v>161</v>
      </c>
      <c r="CE4" s="5" t="s">
        <v>162</v>
      </c>
      <c r="CF4" s="5" t="s">
        <v>163</v>
      </c>
      <c r="CG4" s="5" t="s">
        <v>164</v>
      </c>
      <c r="CH4" s="5" t="s">
        <v>165</v>
      </c>
      <c r="CI4" s="5" t="s">
        <v>166</v>
      </c>
      <c r="CJ4" s="5" t="s">
        <v>167</v>
      </c>
      <c r="CK4" s="5" t="s">
        <v>168</v>
      </c>
      <c r="CL4" s="5" t="s">
        <v>169</v>
      </c>
      <c r="CM4" s="5" t="s">
        <v>170</v>
      </c>
      <c r="CN4" s="5" t="s">
        <v>171</v>
      </c>
      <c r="CO4" s="5" t="s">
        <v>172</v>
      </c>
      <c r="CP4" s="5" t="s">
        <v>173</v>
      </c>
      <c r="CQ4" s="5" t="s">
        <v>174</v>
      </c>
      <c r="CR4" s="5" t="s">
        <v>175</v>
      </c>
      <c r="CS4" s="5" t="s">
        <v>176</v>
      </c>
      <c r="CT4" s="5" t="s">
        <v>177</v>
      </c>
      <c r="CU4" s="5" t="s">
        <v>178</v>
      </c>
      <c r="CV4" s="5" t="s">
        <v>179</v>
      </c>
      <c r="CW4" s="5" t="s">
        <v>180</v>
      </c>
      <c r="CX4" s="5" t="s">
        <v>181</v>
      </c>
      <c r="CY4" s="5" t="s">
        <v>182</v>
      </c>
      <c r="CZ4" s="5" t="s">
        <v>183</v>
      </c>
    </row>
    <row r="5" s="2" customFormat="1" customHeight="1" spans="2:104">
      <c r="B5" s="2">
        <v>2</v>
      </c>
      <c r="C5" s="3">
        <v>1</v>
      </c>
      <c r="D5" s="3" t="s">
        <v>26</v>
      </c>
      <c r="E5" s="3" t="s">
        <v>185</v>
      </c>
      <c r="F5" s="3" t="s">
        <v>185</v>
      </c>
      <c r="G5" s="3" t="s">
        <v>185</v>
      </c>
      <c r="H5" s="3" t="s">
        <v>185</v>
      </c>
      <c r="I5" s="3" t="s">
        <v>185</v>
      </c>
      <c r="J5" s="3" t="s">
        <v>185</v>
      </c>
      <c r="K5" s="3" t="s">
        <v>185</v>
      </c>
      <c r="L5" s="3" t="s">
        <v>185</v>
      </c>
      <c r="M5" s="3" t="s">
        <v>185</v>
      </c>
      <c r="N5" s="3" t="s">
        <v>185</v>
      </c>
      <c r="O5" s="3" t="s">
        <v>185</v>
      </c>
      <c r="P5" s="3" t="s">
        <v>185</v>
      </c>
      <c r="Q5" s="3" t="s">
        <v>185</v>
      </c>
      <c r="R5" s="3" t="s">
        <v>185</v>
      </c>
      <c r="S5" s="3" t="s">
        <v>185</v>
      </c>
      <c r="T5" s="3" t="s">
        <v>185</v>
      </c>
      <c r="U5" s="3" t="s">
        <v>185</v>
      </c>
      <c r="V5" s="3" t="s">
        <v>185</v>
      </c>
      <c r="W5" s="3" t="s">
        <v>185</v>
      </c>
      <c r="X5" s="3" t="s">
        <v>185</v>
      </c>
      <c r="Y5" s="3" t="s">
        <v>185</v>
      </c>
      <c r="Z5" s="3" t="s">
        <v>185</v>
      </c>
      <c r="AA5" s="3" t="s">
        <v>185</v>
      </c>
      <c r="AB5" s="3" t="s">
        <v>185</v>
      </c>
      <c r="AC5" s="3" t="s">
        <v>185</v>
      </c>
      <c r="AD5" s="3" t="s">
        <v>185</v>
      </c>
      <c r="AE5" s="3" t="s">
        <v>185</v>
      </c>
      <c r="AF5" s="3" t="s">
        <v>185</v>
      </c>
      <c r="AG5" s="3" t="s">
        <v>185</v>
      </c>
      <c r="AH5" s="3" t="s">
        <v>185</v>
      </c>
      <c r="AI5" s="3" t="s">
        <v>185</v>
      </c>
      <c r="AJ5" s="3" t="s">
        <v>185</v>
      </c>
      <c r="AK5" s="3" t="s">
        <v>185</v>
      </c>
      <c r="AL5" s="3" t="s">
        <v>185</v>
      </c>
      <c r="AM5" s="3" t="s">
        <v>185</v>
      </c>
      <c r="AN5" s="3" t="s">
        <v>185</v>
      </c>
      <c r="AO5" s="3" t="s">
        <v>185</v>
      </c>
      <c r="AP5" s="3" t="s">
        <v>185</v>
      </c>
      <c r="AQ5" s="3" t="s">
        <v>185</v>
      </c>
      <c r="AR5" s="3" t="s">
        <v>185</v>
      </c>
      <c r="AS5" s="3" t="s">
        <v>185</v>
      </c>
      <c r="AT5" s="3" t="s">
        <v>185</v>
      </c>
      <c r="AU5" s="3" t="s">
        <v>185</v>
      </c>
      <c r="AV5" s="3" t="s">
        <v>185</v>
      </c>
      <c r="AW5" s="3" t="s">
        <v>185</v>
      </c>
      <c r="AX5" s="3" t="s">
        <v>185</v>
      </c>
      <c r="AY5" s="3" t="s">
        <v>185</v>
      </c>
      <c r="AZ5" s="3" t="s">
        <v>185</v>
      </c>
      <c r="BA5" s="3" t="s">
        <v>185</v>
      </c>
      <c r="BB5" s="3" t="s">
        <v>185</v>
      </c>
      <c r="BC5" s="3" t="s">
        <v>185</v>
      </c>
      <c r="BD5" s="3" t="s">
        <v>185</v>
      </c>
      <c r="BE5" s="3" t="s">
        <v>185</v>
      </c>
      <c r="BF5" s="3" t="s">
        <v>185</v>
      </c>
      <c r="BG5" s="3" t="s">
        <v>185</v>
      </c>
      <c r="BH5" s="3" t="s">
        <v>185</v>
      </c>
      <c r="BI5" s="3" t="s">
        <v>185</v>
      </c>
      <c r="BJ5" s="3" t="s">
        <v>185</v>
      </c>
      <c r="BK5" s="3" t="s">
        <v>185</v>
      </c>
      <c r="BL5" s="3" t="s">
        <v>185</v>
      </c>
      <c r="BM5" s="3" t="s">
        <v>185</v>
      </c>
      <c r="BN5" s="3" t="s">
        <v>185</v>
      </c>
      <c r="BO5" s="3" t="s">
        <v>185</v>
      </c>
      <c r="BP5" s="3" t="s">
        <v>185</v>
      </c>
      <c r="BQ5" s="3" t="s">
        <v>185</v>
      </c>
      <c r="BR5" s="3" t="s">
        <v>185</v>
      </c>
      <c r="BS5" s="3" t="s">
        <v>185</v>
      </c>
      <c r="BT5" s="3" t="s">
        <v>185</v>
      </c>
      <c r="BU5" s="3" t="s">
        <v>185</v>
      </c>
      <c r="BV5" s="3" t="s">
        <v>185</v>
      </c>
      <c r="BW5" s="3" t="s">
        <v>185</v>
      </c>
      <c r="BX5" s="3" t="s">
        <v>185</v>
      </c>
      <c r="BY5" s="3" t="s">
        <v>185</v>
      </c>
      <c r="BZ5" s="3" t="s">
        <v>185</v>
      </c>
      <c r="CA5" s="3" t="s">
        <v>185</v>
      </c>
      <c r="CB5" s="3" t="s">
        <v>185</v>
      </c>
      <c r="CC5" s="3" t="s">
        <v>185</v>
      </c>
      <c r="CD5" s="3" t="s">
        <v>185</v>
      </c>
      <c r="CE5" s="3" t="s">
        <v>185</v>
      </c>
      <c r="CF5" s="3" t="s">
        <v>185</v>
      </c>
      <c r="CG5" s="3" t="s">
        <v>185</v>
      </c>
      <c r="CH5" s="3" t="s">
        <v>185</v>
      </c>
      <c r="CI5" s="3" t="s">
        <v>185</v>
      </c>
      <c r="CJ5" s="3" t="s">
        <v>185</v>
      </c>
      <c r="CK5" s="3" t="s">
        <v>185</v>
      </c>
      <c r="CL5" s="3" t="s">
        <v>185</v>
      </c>
      <c r="CM5" s="3" t="s">
        <v>185</v>
      </c>
      <c r="CN5" s="3" t="s">
        <v>185</v>
      </c>
      <c r="CO5" s="3" t="s">
        <v>185</v>
      </c>
      <c r="CP5" s="3" t="s">
        <v>185</v>
      </c>
      <c r="CQ5" s="3" t="s">
        <v>185</v>
      </c>
      <c r="CR5" s="3" t="s">
        <v>185</v>
      </c>
      <c r="CS5" s="3" t="s">
        <v>185</v>
      </c>
      <c r="CT5" s="3" t="s">
        <v>185</v>
      </c>
      <c r="CU5" s="3" t="s">
        <v>185</v>
      </c>
      <c r="CV5" s="3" t="s">
        <v>185</v>
      </c>
      <c r="CW5" s="3" t="s">
        <v>185</v>
      </c>
      <c r="CX5" s="3" t="s">
        <v>185</v>
      </c>
      <c r="CY5" s="3" t="s">
        <v>185</v>
      </c>
      <c r="CZ5" s="3" t="s">
        <v>185</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AF1" sqref="AF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200</v>
      </c>
    </row>
    <row r="4" ht="18" spans="3:102">
      <c r="C4" s="5" t="s">
        <v>85</v>
      </c>
      <c r="D4" s="5" t="s">
        <v>86</v>
      </c>
      <c r="E4" s="5" t="s">
        <v>87</v>
      </c>
      <c r="F4" s="5" t="s">
        <v>88</v>
      </c>
      <c r="G4" s="5" t="s">
        <v>89</v>
      </c>
      <c r="H4" s="5" t="s">
        <v>90</v>
      </c>
      <c r="I4" s="5" t="s">
        <v>91</v>
      </c>
      <c r="J4" s="5" t="s">
        <v>92</v>
      </c>
      <c r="K4" s="5" t="s">
        <v>93</v>
      </c>
      <c r="L4" s="5" t="s">
        <v>94</v>
      </c>
      <c r="M4" s="5" t="s">
        <v>95</v>
      </c>
      <c r="N4" s="5" t="s">
        <v>96</v>
      </c>
      <c r="O4" s="5" t="s">
        <v>97</v>
      </c>
      <c r="P4" s="5" t="s">
        <v>98</v>
      </c>
      <c r="Q4" s="5" t="s">
        <v>99</v>
      </c>
      <c r="R4" s="5" t="s">
        <v>100</v>
      </c>
      <c r="S4" s="5" t="s">
        <v>101</v>
      </c>
      <c r="T4" s="5" t="s">
        <v>102</v>
      </c>
      <c r="U4" s="5" t="s">
        <v>103</v>
      </c>
      <c r="V4" s="5" t="s">
        <v>104</v>
      </c>
      <c r="W4" s="5" t="s">
        <v>105</v>
      </c>
      <c r="X4" s="5" t="s">
        <v>106</v>
      </c>
      <c r="Y4" s="5" t="s">
        <v>107</v>
      </c>
      <c r="Z4" s="5" t="s">
        <v>108</v>
      </c>
      <c r="AA4" s="5" t="s">
        <v>109</v>
      </c>
      <c r="AB4" s="5" t="s">
        <v>110</v>
      </c>
      <c r="AC4" s="5" t="s">
        <v>111</v>
      </c>
      <c r="AD4" s="5" t="s">
        <v>112</v>
      </c>
      <c r="AE4" s="5" t="s">
        <v>113</v>
      </c>
      <c r="AF4" s="5" t="s">
        <v>114</v>
      </c>
      <c r="AG4" s="5" t="s">
        <v>115</v>
      </c>
      <c r="AH4" s="5" t="s">
        <v>116</v>
      </c>
      <c r="AI4" s="5" t="s">
        <v>117</v>
      </c>
      <c r="AJ4" s="5" t="s">
        <v>118</v>
      </c>
      <c r="AK4" s="5" t="s">
        <v>119</v>
      </c>
      <c r="AL4" s="5" t="s">
        <v>120</v>
      </c>
      <c r="AM4" s="5" t="s">
        <v>121</v>
      </c>
      <c r="AN4" s="5" t="s">
        <v>122</v>
      </c>
      <c r="AO4" s="5" t="s">
        <v>123</v>
      </c>
      <c r="AP4" s="5" t="s">
        <v>124</v>
      </c>
      <c r="AQ4" s="5" t="s">
        <v>125</v>
      </c>
      <c r="AR4" s="5" t="s">
        <v>126</v>
      </c>
      <c r="AS4" s="5" t="s">
        <v>127</v>
      </c>
      <c r="AT4" s="5" t="s">
        <v>128</v>
      </c>
      <c r="AU4" s="5" t="s">
        <v>129</v>
      </c>
      <c r="AV4" s="5" t="s">
        <v>130</v>
      </c>
      <c r="AW4" s="5" t="s">
        <v>131</v>
      </c>
      <c r="AX4" s="5" t="s">
        <v>132</v>
      </c>
      <c r="AY4" s="5" t="s">
        <v>133</v>
      </c>
      <c r="AZ4" s="5" t="s">
        <v>134</v>
      </c>
      <c r="BA4" s="5" t="s">
        <v>135</v>
      </c>
      <c r="BB4" s="5" t="s">
        <v>136</v>
      </c>
      <c r="BC4" s="5" t="s">
        <v>137</v>
      </c>
      <c r="BD4" s="5" t="s">
        <v>138</v>
      </c>
      <c r="BE4" s="5" t="s">
        <v>139</v>
      </c>
      <c r="BF4" s="5" t="s">
        <v>140</v>
      </c>
      <c r="BG4" s="5" t="s">
        <v>141</v>
      </c>
      <c r="BH4" s="5" t="s">
        <v>142</v>
      </c>
      <c r="BI4" s="5" t="s">
        <v>143</v>
      </c>
      <c r="BJ4" s="5" t="s">
        <v>144</v>
      </c>
      <c r="BK4" s="5" t="s">
        <v>145</v>
      </c>
      <c r="BL4" s="5" t="s">
        <v>146</v>
      </c>
      <c r="BM4" s="5" t="s">
        <v>147</v>
      </c>
      <c r="BN4" s="5" t="s">
        <v>147</v>
      </c>
      <c r="BO4" s="5" t="s">
        <v>148</v>
      </c>
      <c r="BP4" s="5" t="s">
        <v>149</v>
      </c>
      <c r="BQ4" s="5" t="s">
        <v>150</v>
      </c>
      <c r="BR4" s="5" t="s">
        <v>151</v>
      </c>
      <c r="BS4" s="5" t="s">
        <v>152</v>
      </c>
      <c r="BT4" s="5" t="s">
        <v>153</v>
      </c>
      <c r="BU4" s="5" t="s">
        <v>154</v>
      </c>
      <c r="BV4" s="5" t="s">
        <v>155</v>
      </c>
      <c r="BW4" s="5" t="s">
        <v>156</v>
      </c>
      <c r="BX4" s="5" t="s">
        <v>157</v>
      </c>
      <c r="BY4" s="5" t="s">
        <v>158</v>
      </c>
      <c r="BZ4" s="5" t="s">
        <v>159</v>
      </c>
      <c r="CA4" s="5" t="s">
        <v>160</v>
      </c>
      <c r="CB4" s="5" t="s">
        <v>161</v>
      </c>
      <c r="CC4" s="5" t="s">
        <v>162</v>
      </c>
      <c r="CD4" s="5" t="s">
        <v>163</v>
      </c>
      <c r="CE4" s="5" t="s">
        <v>164</v>
      </c>
      <c r="CF4" s="5" t="s">
        <v>165</v>
      </c>
      <c r="CG4" s="5" t="s">
        <v>166</v>
      </c>
      <c r="CH4" s="5" t="s">
        <v>167</v>
      </c>
      <c r="CI4" s="5" t="s">
        <v>168</v>
      </c>
      <c r="CJ4" s="5" t="s">
        <v>169</v>
      </c>
      <c r="CK4" s="5" t="s">
        <v>170</v>
      </c>
      <c r="CL4" s="5" t="s">
        <v>171</v>
      </c>
      <c r="CM4" s="5" t="s">
        <v>172</v>
      </c>
      <c r="CN4" s="5" t="s">
        <v>173</v>
      </c>
      <c r="CO4" s="5" t="s">
        <v>174</v>
      </c>
      <c r="CP4" s="5" t="s">
        <v>175</v>
      </c>
      <c r="CQ4" s="5" t="s">
        <v>176</v>
      </c>
      <c r="CR4" s="5" t="s">
        <v>177</v>
      </c>
      <c r="CS4" s="5" t="s">
        <v>178</v>
      </c>
      <c r="CT4" s="5" t="s">
        <v>179</v>
      </c>
      <c r="CU4" s="5" t="s">
        <v>180</v>
      </c>
      <c r="CV4" s="5" t="s">
        <v>181</v>
      </c>
      <c r="CW4" s="5" t="s">
        <v>182</v>
      </c>
      <c r="CX4" s="5" t="s">
        <v>183</v>
      </c>
    </row>
    <row r="5" spans="3:102">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R1" sqref="R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201</v>
      </c>
    </row>
    <row r="4" s="7" customFormat="1" ht="18" spans="3:102">
      <c r="C4" s="5" t="s">
        <v>85</v>
      </c>
      <c r="D4" s="5" t="s">
        <v>86</v>
      </c>
      <c r="E4" s="5" t="s">
        <v>87</v>
      </c>
      <c r="F4" s="5" t="s">
        <v>88</v>
      </c>
      <c r="G4" s="5" t="s">
        <v>89</v>
      </c>
      <c r="H4" s="5" t="s">
        <v>90</v>
      </c>
      <c r="I4" s="5" t="s">
        <v>91</v>
      </c>
      <c r="J4" s="5" t="s">
        <v>92</v>
      </c>
      <c r="K4" s="5" t="s">
        <v>93</v>
      </c>
      <c r="L4" s="5" t="s">
        <v>94</v>
      </c>
      <c r="M4" s="5" t="s">
        <v>95</v>
      </c>
      <c r="N4" s="5" t="s">
        <v>96</v>
      </c>
      <c r="O4" s="5" t="s">
        <v>97</v>
      </c>
      <c r="P4" s="5" t="s">
        <v>98</v>
      </c>
      <c r="Q4" s="5" t="s">
        <v>99</v>
      </c>
      <c r="R4" s="5" t="s">
        <v>100</v>
      </c>
      <c r="S4" s="5" t="s">
        <v>101</v>
      </c>
      <c r="T4" s="5" t="s">
        <v>102</v>
      </c>
      <c r="U4" s="5" t="s">
        <v>103</v>
      </c>
      <c r="V4" s="5" t="s">
        <v>104</v>
      </c>
      <c r="W4" s="5" t="s">
        <v>105</v>
      </c>
      <c r="X4" s="5" t="s">
        <v>106</v>
      </c>
      <c r="Y4" s="5" t="s">
        <v>107</v>
      </c>
      <c r="Z4" s="5" t="s">
        <v>108</v>
      </c>
      <c r="AA4" s="5" t="s">
        <v>109</v>
      </c>
      <c r="AB4" s="5" t="s">
        <v>110</v>
      </c>
      <c r="AC4" s="5" t="s">
        <v>111</v>
      </c>
      <c r="AD4" s="5" t="s">
        <v>112</v>
      </c>
      <c r="AE4" s="5" t="s">
        <v>113</v>
      </c>
      <c r="AF4" s="5" t="s">
        <v>114</v>
      </c>
      <c r="AG4" s="5" t="s">
        <v>115</v>
      </c>
      <c r="AH4" s="5" t="s">
        <v>116</v>
      </c>
      <c r="AI4" s="5" t="s">
        <v>117</v>
      </c>
      <c r="AJ4" s="5" t="s">
        <v>118</v>
      </c>
      <c r="AK4" s="5" t="s">
        <v>119</v>
      </c>
      <c r="AL4" s="5" t="s">
        <v>120</v>
      </c>
      <c r="AM4" s="5" t="s">
        <v>121</v>
      </c>
      <c r="AN4" s="5" t="s">
        <v>122</v>
      </c>
      <c r="AO4" s="5" t="s">
        <v>123</v>
      </c>
      <c r="AP4" s="5" t="s">
        <v>124</v>
      </c>
      <c r="AQ4" s="5" t="s">
        <v>125</v>
      </c>
      <c r="AR4" s="5" t="s">
        <v>126</v>
      </c>
      <c r="AS4" s="5" t="s">
        <v>127</v>
      </c>
      <c r="AT4" s="5" t="s">
        <v>128</v>
      </c>
      <c r="AU4" s="5" t="s">
        <v>129</v>
      </c>
      <c r="AV4" s="5" t="s">
        <v>130</v>
      </c>
      <c r="AW4" s="5" t="s">
        <v>131</v>
      </c>
      <c r="AX4" s="5" t="s">
        <v>132</v>
      </c>
      <c r="AY4" s="5" t="s">
        <v>133</v>
      </c>
      <c r="AZ4" s="5" t="s">
        <v>134</v>
      </c>
      <c r="BA4" s="5" t="s">
        <v>135</v>
      </c>
      <c r="BB4" s="5" t="s">
        <v>136</v>
      </c>
      <c r="BC4" s="5" t="s">
        <v>137</v>
      </c>
      <c r="BD4" s="5" t="s">
        <v>138</v>
      </c>
      <c r="BE4" s="5" t="s">
        <v>139</v>
      </c>
      <c r="BF4" s="5" t="s">
        <v>140</v>
      </c>
      <c r="BG4" s="5" t="s">
        <v>141</v>
      </c>
      <c r="BH4" s="5" t="s">
        <v>142</v>
      </c>
      <c r="BI4" s="5" t="s">
        <v>143</v>
      </c>
      <c r="BJ4" s="5" t="s">
        <v>144</v>
      </c>
      <c r="BK4" s="5" t="s">
        <v>145</v>
      </c>
      <c r="BL4" s="5" t="s">
        <v>146</v>
      </c>
      <c r="BM4" s="5" t="s">
        <v>147</v>
      </c>
      <c r="BN4" s="5" t="s">
        <v>147</v>
      </c>
      <c r="BO4" s="5" t="s">
        <v>148</v>
      </c>
      <c r="BP4" s="5" t="s">
        <v>149</v>
      </c>
      <c r="BQ4" s="5" t="s">
        <v>150</v>
      </c>
      <c r="BR4" s="5" t="s">
        <v>151</v>
      </c>
      <c r="BS4" s="5" t="s">
        <v>152</v>
      </c>
      <c r="BT4" s="5" t="s">
        <v>153</v>
      </c>
      <c r="BU4" s="5" t="s">
        <v>154</v>
      </c>
      <c r="BV4" s="5" t="s">
        <v>155</v>
      </c>
      <c r="BW4" s="5" t="s">
        <v>156</v>
      </c>
      <c r="BX4" s="5" t="s">
        <v>157</v>
      </c>
      <c r="BY4" s="5" t="s">
        <v>158</v>
      </c>
      <c r="BZ4" s="5" t="s">
        <v>159</v>
      </c>
      <c r="CA4" s="5" t="s">
        <v>160</v>
      </c>
      <c r="CB4" s="5" t="s">
        <v>161</v>
      </c>
      <c r="CC4" s="5" t="s">
        <v>162</v>
      </c>
      <c r="CD4" s="5" t="s">
        <v>163</v>
      </c>
      <c r="CE4" s="5" t="s">
        <v>164</v>
      </c>
      <c r="CF4" s="5" t="s">
        <v>165</v>
      </c>
      <c r="CG4" s="5" t="s">
        <v>166</v>
      </c>
      <c r="CH4" s="5" t="s">
        <v>167</v>
      </c>
      <c r="CI4" s="5" t="s">
        <v>168</v>
      </c>
      <c r="CJ4" s="5" t="s">
        <v>169</v>
      </c>
      <c r="CK4" s="5" t="s">
        <v>170</v>
      </c>
      <c r="CL4" s="5" t="s">
        <v>171</v>
      </c>
      <c r="CM4" s="5" t="s">
        <v>172</v>
      </c>
      <c r="CN4" s="5" t="s">
        <v>173</v>
      </c>
      <c r="CO4" s="5" t="s">
        <v>174</v>
      </c>
      <c r="CP4" s="5" t="s">
        <v>175</v>
      </c>
      <c r="CQ4" s="5" t="s">
        <v>176</v>
      </c>
      <c r="CR4" s="5" t="s">
        <v>177</v>
      </c>
      <c r="CS4" s="5" t="s">
        <v>178</v>
      </c>
      <c r="CT4" s="5" t="s">
        <v>179</v>
      </c>
      <c r="CU4" s="5" t="s">
        <v>180</v>
      </c>
      <c r="CV4" s="5" t="s">
        <v>181</v>
      </c>
      <c r="CW4" s="5" t="s">
        <v>182</v>
      </c>
      <c r="CX4" s="5" t="s">
        <v>183</v>
      </c>
    </row>
    <row r="5" s="7" customFormat="1" spans="3:102">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E11" sqref="E11"/>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202</v>
      </c>
    </row>
    <row r="4" s="1" customFormat="1" ht="30" customHeight="1" spans="3:5">
      <c r="C4" s="5" t="s">
        <v>41</v>
      </c>
      <c r="D4" s="5" t="s">
        <v>203</v>
      </c>
      <c r="E4" s="5" t="s">
        <v>204</v>
      </c>
    </row>
    <row r="5" s="2" customFormat="1" customHeight="1" spans="2:5">
      <c r="B5" s="2">
        <v>6</v>
      </c>
      <c r="C5" s="3">
        <v>1</v>
      </c>
      <c r="D5" s="3" t="s">
        <v>85</v>
      </c>
      <c r="E5" s="3" t="s">
        <v>205</v>
      </c>
    </row>
    <row r="6" s="2" customFormat="1" customHeight="1" spans="2:5">
      <c r="B6" s="2">
        <v>7</v>
      </c>
      <c r="C6" s="3">
        <v>2</v>
      </c>
      <c r="D6" s="3" t="s">
        <v>86</v>
      </c>
      <c r="E6" s="3" t="s">
        <v>206</v>
      </c>
    </row>
    <row r="7" s="2" customFormat="1" customHeight="1" spans="2:5">
      <c r="B7" s="2">
        <v>8</v>
      </c>
      <c r="C7" s="3">
        <v>3</v>
      </c>
      <c r="D7" s="3" t="s">
        <v>87</v>
      </c>
      <c r="E7" s="3" t="s">
        <v>207</v>
      </c>
    </row>
    <row r="8" s="2" customFormat="1" customHeight="1" spans="2:5">
      <c r="B8" s="2">
        <v>26</v>
      </c>
      <c r="C8" s="3">
        <v>4</v>
      </c>
      <c r="D8" s="3" t="s">
        <v>88</v>
      </c>
      <c r="E8" s="3" t="s">
        <v>208</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P14" sqref="P14"/>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209</v>
      </c>
    </row>
    <row r="4" s="1" customFormat="1" ht="30" customHeight="1" spans="3:106">
      <c r="C4" s="5" t="s">
        <v>41</v>
      </c>
      <c r="D4" s="5" t="s">
        <v>210</v>
      </c>
      <c r="E4" s="5" t="s">
        <v>211</v>
      </c>
      <c r="F4" s="5" t="s">
        <v>212</v>
      </c>
      <c r="G4" s="5" t="s">
        <v>85</v>
      </c>
      <c r="H4" s="5" t="s">
        <v>86</v>
      </c>
      <c r="I4" s="5" t="s">
        <v>87</v>
      </c>
      <c r="J4" s="5" t="s">
        <v>88</v>
      </c>
      <c r="K4" s="5" t="s">
        <v>89</v>
      </c>
      <c r="L4" s="5" t="s">
        <v>90</v>
      </c>
      <c r="M4" s="5" t="s">
        <v>91</v>
      </c>
      <c r="N4" s="5" t="s">
        <v>92</v>
      </c>
      <c r="O4" s="5" t="s">
        <v>93</v>
      </c>
      <c r="P4" s="5" t="s">
        <v>94</v>
      </c>
      <c r="Q4" s="5" t="s">
        <v>95</v>
      </c>
      <c r="R4" s="5" t="s">
        <v>96</v>
      </c>
      <c r="S4" s="5" t="s">
        <v>97</v>
      </c>
      <c r="T4" s="5" t="s">
        <v>98</v>
      </c>
      <c r="U4" s="5" t="s">
        <v>99</v>
      </c>
      <c r="V4" s="5" t="s">
        <v>100</v>
      </c>
      <c r="W4" s="5" t="s">
        <v>101</v>
      </c>
      <c r="X4" s="5" t="s">
        <v>102</v>
      </c>
      <c r="Y4" s="5" t="s">
        <v>103</v>
      </c>
      <c r="Z4" s="5" t="s">
        <v>104</v>
      </c>
      <c r="AA4" s="5" t="s">
        <v>105</v>
      </c>
      <c r="AB4" s="5" t="s">
        <v>106</v>
      </c>
      <c r="AC4" s="5" t="s">
        <v>107</v>
      </c>
      <c r="AD4" s="5" t="s">
        <v>108</v>
      </c>
      <c r="AE4" s="5" t="s">
        <v>109</v>
      </c>
      <c r="AF4" s="5" t="s">
        <v>110</v>
      </c>
      <c r="AG4" s="5" t="s">
        <v>111</v>
      </c>
      <c r="AH4" s="5" t="s">
        <v>112</v>
      </c>
      <c r="AI4" s="5" t="s">
        <v>113</v>
      </c>
      <c r="AJ4" s="5" t="s">
        <v>114</v>
      </c>
      <c r="AK4" s="5" t="s">
        <v>115</v>
      </c>
      <c r="AL4" s="5" t="s">
        <v>116</v>
      </c>
      <c r="AM4" s="5" t="s">
        <v>117</v>
      </c>
      <c r="AN4" s="5" t="s">
        <v>118</v>
      </c>
      <c r="AO4" s="5" t="s">
        <v>119</v>
      </c>
      <c r="AP4" s="5" t="s">
        <v>120</v>
      </c>
      <c r="AQ4" s="5" t="s">
        <v>121</v>
      </c>
      <c r="AR4" s="5" t="s">
        <v>122</v>
      </c>
      <c r="AS4" s="5" t="s">
        <v>123</v>
      </c>
      <c r="AT4" s="5" t="s">
        <v>124</v>
      </c>
      <c r="AU4" s="5" t="s">
        <v>125</v>
      </c>
      <c r="AV4" s="5" t="s">
        <v>126</v>
      </c>
      <c r="AW4" s="5" t="s">
        <v>127</v>
      </c>
      <c r="AX4" s="5" t="s">
        <v>128</v>
      </c>
      <c r="AY4" s="5" t="s">
        <v>129</v>
      </c>
      <c r="AZ4" s="5" t="s">
        <v>130</v>
      </c>
      <c r="BA4" s="5" t="s">
        <v>131</v>
      </c>
      <c r="BB4" s="5" t="s">
        <v>132</v>
      </c>
      <c r="BC4" s="5" t="s">
        <v>133</v>
      </c>
      <c r="BD4" s="5" t="s">
        <v>134</v>
      </c>
      <c r="BE4" s="5" t="s">
        <v>135</v>
      </c>
      <c r="BF4" s="5" t="s">
        <v>136</v>
      </c>
      <c r="BG4" s="5" t="s">
        <v>137</v>
      </c>
      <c r="BH4" s="5" t="s">
        <v>138</v>
      </c>
      <c r="BI4" s="5" t="s">
        <v>139</v>
      </c>
      <c r="BJ4" s="5" t="s">
        <v>140</v>
      </c>
      <c r="BK4" s="5" t="s">
        <v>141</v>
      </c>
      <c r="BL4" s="5" t="s">
        <v>142</v>
      </c>
      <c r="BM4" s="5" t="s">
        <v>143</v>
      </c>
      <c r="BN4" s="5" t="s">
        <v>144</v>
      </c>
      <c r="BO4" s="5" t="s">
        <v>145</v>
      </c>
      <c r="BP4" s="5" t="s">
        <v>146</v>
      </c>
      <c r="BQ4" s="5" t="s">
        <v>147</v>
      </c>
      <c r="BR4" s="5" t="s">
        <v>147</v>
      </c>
      <c r="BS4" s="5" t="s">
        <v>148</v>
      </c>
      <c r="BT4" s="5" t="s">
        <v>149</v>
      </c>
      <c r="BU4" s="5" t="s">
        <v>150</v>
      </c>
      <c r="BV4" s="5" t="s">
        <v>151</v>
      </c>
      <c r="BW4" s="5" t="s">
        <v>152</v>
      </c>
      <c r="BX4" s="5" t="s">
        <v>153</v>
      </c>
      <c r="BY4" s="5" t="s">
        <v>154</v>
      </c>
      <c r="BZ4" s="5" t="s">
        <v>155</v>
      </c>
      <c r="CA4" s="5" t="s">
        <v>156</v>
      </c>
      <c r="CB4" s="5" t="s">
        <v>157</v>
      </c>
      <c r="CC4" s="5" t="s">
        <v>158</v>
      </c>
      <c r="CD4" s="5" t="s">
        <v>159</v>
      </c>
      <c r="CE4" s="5" t="s">
        <v>160</v>
      </c>
      <c r="CF4" s="5" t="s">
        <v>161</v>
      </c>
      <c r="CG4" s="5" t="s">
        <v>162</v>
      </c>
      <c r="CH4" s="5" t="s">
        <v>163</v>
      </c>
      <c r="CI4" s="5" t="s">
        <v>164</v>
      </c>
      <c r="CJ4" s="5" t="s">
        <v>165</v>
      </c>
      <c r="CK4" s="5" t="s">
        <v>166</v>
      </c>
      <c r="CL4" s="5" t="s">
        <v>167</v>
      </c>
      <c r="CM4" s="5" t="s">
        <v>168</v>
      </c>
      <c r="CN4" s="5" t="s">
        <v>169</v>
      </c>
      <c r="CO4" s="5" t="s">
        <v>170</v>
      </c>
      <c r="CP4" s="5" t="s">
        <v>171</v>
      </c>
      <c r="CQ4" s="5" t="s">
        <v>172</v>
      </c>
      <c r="CR4" s="5" t="s">
        <v>173</v>
      </c>
      <c r="CS4" s="5" t="s">
        <v>174</v>
      </c>
      <c r="CT4" s="5" t="s">
        <v>175</v>
      </c>
      <c r="CU4" s="5" t="s">
        <v>176</v>
      </c>
      <c r="CV4" s="5" t="s">
        <v>177</v>
      </c>
      <c r="CW4" s="5" t="s">
        <v>178</v>
      </c>
      <c r="CX4" s="5" t="s">
        <v>179</v>
      </c>
      <c r="CY4" s="5" t="s">
        <v>180</v>
      </c>
      <c r="CZ4" s="5" t="s">
        <v>181</v>
      </c>
      <c r="DA4" s="5" t="s">
        <v>182</v>
      </c>
      <c r="DB4" s="5" t="s">
        <v>183</v>
      </c>
    </row>
    <row r="5" s="2" customFormat="1" customHeight="1" spans="2:106">
      <c r="B5" s="2">
        <v>2946</v>
      </c>
      <c r="C5" s="3">
        <v>74</v>
      </c>
      <c r="D5" s="3" t="s">
        <v>27</v>
      </c>
      <c r="E5" s="6">
        <v>45044</v>
      </c>
      <c r="F5" s="6">
        <v>45148</v>
      </c>
      <c r="G5" s="3">
        <f ca="1">G5*I5</f>
        <v>0</v>
      </c>
      <c r="H5" s="3">
        <f>I5*J5</f>
        <v>0</v>
      </c>
      <c r="I5" s="3"/>
      <c r="J5" s="3">
        <f>P5*7</f>
        <v>0</v>
      </c>
      <c r="K5" s="3" t="s">
        <v>213</v>
      </c>
      <c r="L5" s="3" t="s">
        <v>188</v>
      </c>
      <c r="M5" s="3" t="s">
        <v>214</v>
      </c>
      <c r="N5" s="3" t="s">
        <v>215</v>
      </c>
      <c r="O5" s="3" t="s">
        <v>216</v>
      </c>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2936</v>
      </c>
      <c r="C6" s="3">
        <v>67</v>
      </c>
      <c r="D6" s="3" t="s">
        <v>27</v>
      </c>
      <c r="E6" s="6">
        <v>45023</v>
      </c>
      <c r="F6" s="6">
        <v>45093</v>
      </c>
      <c r="G6" s="3">
        <f ca="1">G6*I6</f>
        <v>0</v>
      </c>
      <c r="H6" s="3">
        <f>I6*J6</f>
        <v>0</v>
      </c>
      <c r="I6" s="3">
        <f>K6*3</f>
        <v>0</v>
      </c>
      <c r="J6" s="3">
        <f>P6*7</f>
        <v>0</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2937</v>
      </c>
      <c r="C7" s="3">
        <v>68</v>
      </c>
      <c r="D7" s="3" t="s">
        <v>27</v>
      </c>
      <c r="E7" s="6">
        <v>45023</v>
      </c>
      <c r="F7" s="6">
        <v>45023</v>
      </c>
      <c r="G7" s="3">
        <f ca="1">G7*I7</f>
        <v>0</v>
      </c>
      <c r="H7" s="3">
        <f>I7*J7</f>
        <v>0</v>
      </c>
      <c r="I7" s="3">
        <f>K7*3</f>
        <v>0</v>
      </c>
      <c r="J7" s="3">
        <f>P7*7</f>
        <v>0</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2938</v>
      </c>
      <c r="C8" s="3">
        <v>69</v>
      </c>
      <c r="D8" s="3" t="s">
        <v>27</v>
      </c>
      <c r="E8" s="6">
        <v>45023</v>
      </c>
      <c r="F8" s="6">
        <v>45023</v>
      </c>
      <c r="G8" s="3">
        <f ca="1">G8*I8</f>
        <v>0</v>
      </c>
      <c r="H8" s="3">
        <f>I8*J8</f>
        <v>0</v>
      </c>
      <c r="I8" s="3">
        <f>K8*3</f>
        <v>0</v>
      </c>
      <c r="J8" s="3">
        <f>P8*7</f>
        <v>0</v>
      </c>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2939</v>
      </c>
      <c r="C9" s="3">
        <v>70</v>
      </c>
      <c r="D9" s="3" t="s">
        <v>27</v>
      </c>
      <c r="E9" s="6">
        <v>45023</v>
      </c>
      <c r="F9" s="6">
        <v>45023</v>
      </c>
      <c r="G9" s="3">
        <f ca="1">G9*I9</f>
        <v>0</v>
      </c>
      <c r="H9" s="3">
        <f>I9*J9</f>
        <v>0</v>
      </c>
      <c r="I9" s="3">
        <f>K9*3</f>
        <v>0</v>
      </c>
      <c r="J9" s="3">
        <f>P9*7</f>
        <v>0</v>
      </c>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2:106">
      <c r="B10" s="2">
        <v>2940</v>
      </c>
      <c r="C10" s="3">
        <v>71</v>
      </c>
      <c r="D10" s="3" t="s">
        <v>27</v>
      </c>
      <c r="E10" s="6">
        <v>45023</v>
      </c>
      <c r="F10" s="6">
        <v>45023</v>
      </c>
      <c r="G10" s="3">
        <f ca="1">G10*I10</f>
        <v>0</v>
      </c>
      <c r="H10" s="3">
        <f>I10*J10</f>
        <v>0</v>
      </c>
      <c r="I10" s="3">
        <f>K10*3</f>
        <v>0</v>
      </c>
      <c r="J10" s="3">
        <f>P10*7</f>
        <v>0</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2:106">
      <c r="B11" s="2">
        <v>2941</v>
      </c>
      <c r="C11" s="3">
        <v>72</v>
      </c>
      <c r="D11" s="3" t="s">
        <v>27</v>
      </c>
      <c r="E11" s="6">
        <v>45023</v>
      </c>
      <c r="F11" s="6">
        <v>45086</v>
      </c>
      <c r="G11" s="3">
        <f ca="1">G11*I11</f>
        <v>0</v>
      </c>
      <c r="H11" s="3">
        <f>I11*J11</f>
        <v>0</v>
      </c>
      <c r="I11" s="3">
        <f>K11*3</f>
        <v>0</v>
      </c>
      <c r="J11" s="3">
        <f>P11*7</f>
        <v>0</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2:106">
      <c r="B12" s="2">
        <v>2942</v>
      </c>
      <c r="C12" s="3">
        <v>73</v>
      </c>
      <c r="D12" s="3" t="s">
        <v>27</v>
      </c>
      <c r="E12" s="6">
        <v>45023</v>
      </c>
      <c r="F12" s="6">
        <v>45086</v>
      </c>
      <c r="G12" s="3">
        <f ca="1">G12*I12</f>
        <v>0</v>
      </c>
      <c r="H12" s="3">
        <f>I12*J12</f>
        <v>0</v>
      </c>
      <c r="I12" s="3">
        <f>K12*3</f>
        <v>0</v>
      </c>
      <c r="J12" s="3">
        <f>P12*7</f>
        <v>0</v>
      </c>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2:10">
      <c r="B13" s="2">
        <v>2934</v>
      </c>
      <c r="C13" s="3">
        <v>66</v>
      </c>
      <c r="D13" s="3" t="s">
        <v>27</v>
      </c>
      <c r="E13" s="6">
        <v>45008</v>
      </c>
      <c r="F13" s="6">
        <v>45086</v>
      </c>
      <c r="G13" s="3">
        <f ca="1">G13*I13</f>
        <v>0</v>
      </c>
      <c r="H13" s="3">
        <f>I13*J13</f>
        <v>0</v>
      </c>
      <c r="I13" s="3">
        <f>K13*3</f>
        <v>0</v>
      </c>
      <c r="J13" s="3">
        <f>P13*7</f>
        <v>0</v>
      </c>
    </row>
    <row r="14" customHeight="1" spans="2:10">
      <c r="B14" s="2">
        <v>2933</v>
      </c>
      <c r="C14" s="3">
        <v>65</v>
      </c>
      <c r="D14" s="3" t="s">
        <v>27</v>
      </c>
      <c r="E14" s="6">
        <v>45005</v>
      </c>
      <c r="F14" s="6">
        <v>45086</v>
      </c>
      <c r="G14" s="3">
        <f ca="1">G14*I14</f>
        <v>0</v>
      </c>
      <c r="H14" s="3">
        <f>I14*J14</f>
        <v>0</v>
      </c>
      <c r="I14" s="3">
        <f>K14*3</f>
        <v>0</v>
      </c>
      <c r="J14" s="3">
        <f>P14*7</f>
        <v>0</v>
      </c>
    </row>
    <row r="15" customHeight="1" spans="2:68">
      <c r="B15" s="2">
        <v>2604</v>
      </c>
      <c r="C15" s="3">
        <v>1</v>
      </c>
      <c r="D15" s="3" t="s">
        <v>27</v>
      </c>
      <c r="E15" s="6">
        <v>44659</v>
      </c>
      <c r="F15" s="6">
        <v>45086</v>
      </c>
      <c r="G15" s="3">
        <f ca="1">G15*I15</f>
        <v>0</v>
      </c>
      <c r="I15" s="3">
        <f>K15*3</f>
        <v>1440</v>
      </c>
      <c r="J15" s="3">
        <f>P15*7</f>
        <v>1680</v>
      </c>
      <c r="K15" s="3">
        <v>480</v>
      </c>
      <c r="L15" s="3">
        <v>650</v>
      </c>
      <c r="M15" s="3">
        <v>250</v>
      </c>
      <c r="N15" s="3">
        <v>340</v>
      </c>
      <c r="O15" s="3">
        <v>326</v>
      </c>
      <c r="P15" s="3">
        <v>240</v>
      </c>
      <c r="Q15" s="3">
        <v>258</v>
      </c>
      <c r="R15" s="3">
        <v>370</v>
      </c>
      <c r="S15" s="3">
        <v>390</v>
      </c>
      <c r="T15" s="3">
        <v>160</v>
      </c>
      <c r="U15" s="3">
        <v>370</v>
      </c>
      <c r="V15" s="3">
        <v>280</v>
      </c>
      <c r="W15" s="3">
        <v>180</v>
      </c>
      <c r="X15" s="3">
        <v>630</v>
      </c>
      <c r="Y15" s="3">
        <v>430</v>
      </c>
      <c r="Z15" s="3">
        <v>260</v>
      </c>
      <c r="AA15" s="3">
        <v>120</v>
      </c>
      <c r="AB15" s="3">
        <v>210</v>
      </c>
      <c r="AC15" s="3">
        <v>230</v>
      </c>
      <c r="AD15" s="3">
        <v>257</v>
      </c>
      <c r="AE15" s="3">
        <v>134</v>
      </c>
      <c r="BP15" s="3" t="s">
        <v>217</v>
      </c>
    </row>
    <row r="16" customHeight="1" spans="2:68">
      <c r="B16" s="2">
        <v>2605</v>
      </c>
      <c r="C16" s="3">
        <v>2</v>
      </c>
      <c r="D16" s="3" t="s">
        <v>27</v>
      </c>
      <c r="E16" s="6">
        <v>44341</v>
      </c>
      <c r="F16" s="6">
        <v>45044</v>
      </c>
      <c r="G16" s="3">
        <f ca="1">G16*I16</f>
        <v>0</v>
      </c>
      <c r="H16" s="3">
        <f>I16*J16</f>
        <v>3219930</v>
      </c>
      <c r="I16" s="3">
        <f>K16*3</f>
        <v>807</v>
      </c>
      <c r="J16" s="3">
        <f>P16*7</f>
        <v>3990</v>
      </c>
      <c r="K16" s="3">
        <v>269</v>
      </c>
      <c r="L16" s="3">
        <v>410</v>
      </c>
      <c r="M16" s="3">
        <v>356</v>
      </c>
      <c r="N16" s="3">
        <v>260</v>
      </c>
      <c r="O16" s="3">
        <v>708</v>
      </c>
      <c r="P16" s="3">
        <v>570</v>
      </c>
      <c r="Q16" s="3">
        <v>250</v>
      </c>
      <c r="R16" s="3">
        <v>450</v>
      </c>
      <c r="S16" s="3">
        <v>270</v>
      </c>
      <c r="T16" s="3">
        <v>370</v>
      </c>
      <c r="U16" s="3">
        <v>470</v>
      </c>
      <c r="V16" s="3">
        <v>360</v>
      </c>
      <c r="W16" s="3">
        <v>420</v>
      </c>
      <c r="X16" s="3">
        <v>570</v>
      </c>
      <c r="Y16" s="3">
        <v>740</v>
      </c>
      <c r="Z16" s="3">
        <v>650</v>
      </c>
      <c r="AA16" s="3">
        <v>250</v>
      </c>
      <c r="AB16" s="3">
        <v>250</v>
      </c>
      <c r="AC16" s="3">
        <v>328</v>
      </c>
      <c r="AD16" s="3">
        <v>137</v>
      </c>
      <c r="AE16" s="3">
        <v>453</v>
      </c>
      <c r="BP16" s="3" t="s">
        <v>217</v>
      </c>
    </row>
    <row r="17" customHeight="1" spans="2:68">
      <c r="B17" s="2">
        <v>2606</v>
      </c>
      <c r="C17" s="3">
        <v>3</v>
      </c>
      <c r="D17" s="3" t="s">
        <v>27</v>
      </c>
      <c r="E17" s="6">
        <v>44329</v>
      </c>
      <c r="F17" s="6">
        <v>45044</v>
      </c>
      <c r="G17" s="3">
        <f ca="1">G17*I17</f>
        <v>0</v>
      </c>
      <c r="H17" s="3">
        <f>I17*J17</f>
        <v>2520000</v>
      </c>
      <c r="I17" s="3">
        <f>K17*3</f>
        <v>750</v>
      </c>
      <c r="J17" s="3">
        <f>P17*7</f>
        <v>3360</v>
      </c>
      <c r="K17" s="3">
        <v>250</v>
      </c>
      <c r="L17" s="3">
        <v>410</v>
      </c>
      <c r="M17" s="3">
        <v>270</v>
      </c>
      <c r="N17" s="3">
        <v>410</v>
      </c>
      <c r="O17" s="3">
        <v>540</v>
      </c>
      <c r="P17" s="3">
        <v>480</v>
      </c>
      <c r="Q17" s="3">
        <v>370</v>
      </c>
      <c r="R17" s="3">
        <v>730</v>
      </c>
      <c r="S17" s="3">
        <v>220</v>
      </c>
      <c r="T17" s="3">
        <v>250</v>
      </c>
      <c r="U17" s="3">
        <v>370</v>
      </c>
      <c r="V17" s="3">
        <v>270</v>
      </c>
      <c r="W17" s="3">
        <v>730</v>
      </c>
      <c r="X17" s="3">
        <v>670</v>
      </c>
      <c r="Y17" s="3">
        <v>840</v>
      </c>
      <c r="Z17" s="3">
        <v>480</v>
      </c>
      <c r="AA17" s="3">
        <v>520</v>
      </c>
      <c r="AB17" s="3">
        <v>420</v>
      </c>
      <c r="AC17" s="3">
        <v>318</v>
      </c>
      <c r="AD17" s="3">
        <v>518</v>
      </c>
      <c r="AE17" s="3">
        <v>255</v>
      </c>
      <c r="BP17" s="3" t="s">
        <v>217</v>
      </c>
    </row>
    <row r="18" customHeight="1" spans="2:31">
      <c r="B18" s="2">
        <v>2613</v>
      </c>
      <c r="C18" s="3">
        <v>7</v>
      </c>
      <c r="D18" s="3" t="s">
        <v>27</v>
      </c>
      <c r="E18" s="6">
        <v>44329</v>
      </c>
      <c r="F18" s="6">
        <v>45044</v>
      </c>
      <c r="G18" s="3">
        <f ca="1">G18*I18</f>
        <v>0</v>
      </c>
      <c r="H18" s="3">
        <f>I18*J18</f>
        <v>3616200</v>
      </c>
      <c r="I18" s="3">
        <f>K18*3</f>
        <v>1260</v>
      </c>
      <c r="J18" s="3">
        <f>P18*7</f>
        <v>2870</v>
      </c>
      <c r="K18" s="3">
        <v>420</v>
      </c>
      <c r="L18" s="3">
        <v>532</v>
      </c>
      <c r="M18" s="3">
        <v>580</v>
      </c>
      <c r="N18" s="3">
        <v>240</v>
      </c>
      <c r="O18" s="3">
        <v>300</v>
      </c>
      <c r="P18" s="3">
        <v>410</v>
      </c>
      <c r="Q18" s="3">
        <v>380</v>
      </c>
      <c r="R18" s="3">
        <v>260</v>
      </c>
      <c r="S18" s="3">
        <v>160</v>
      </c>
      <c r="T18" s="3">
        <v>360</v>
      </c>
      <c r="U18" s="3">
        <v>230</v>
      </c>
      <c r="V18" s="3">
        <v>580</v>
      </c>
      <c r="W18" s="3">
        <v>750</v>
      </c>
      <c r="X18" s="3">
        <v>230</v>
      </c>
      <c r="Y18" s="3">
        <v>720</v>
      </c>
      <c r="Z18" s="3">
        <v>590</v>
      </c>
      <c r="AA18" s="3">
        <v>230</v>
      </c>
      <c r="AB18" s="3">
        <v>167</v>
      </c>
      <c r="AC18" s="3">
        <v>317</v>
      </c>
      <c r="AD18" s="3">
        <v>317</v>
      </c>
      <c r="AE18" s="3">
        <v>270</v>
      </c>
    </row>
    <row r="19" customHeight="1" spans="2:14">
      <c r="B19" s="2">
        <v>2608</v>
      </c>
      <c r="C19" s="3">
        <v>4</v>
      </c>
      <c r="D19" s="3" t="s">
        <v>27</v>
      </c>
      <c r="E19" s="6">
        <v>44146</v>
      </c>
      <c r="F19" s="6">
        <v>45044</v>
      </c>
      <c r="G19" s="3">
        <f ca="1">G19*I19</f>
        <v>0</v>
      </c>
      <c r="H19" s="3">
        <f>I19*J19</f>
        <v>0</v>
      </c>
      <c r="J19" s="3">
        <f>P19*7</f>
        <v>0</v>
      </c>
      <c r="K19" s="3" t="s">
        <v>218</v>
      </c>
      <c r="L19" s="3" t="s">
        <v>219</v>
      </c>
      <c r="N19" s="3" t="s">
        <v>220</v>
      </c>
    </row>
    <row r="20" customHeight="1" spans="2:10">
      <c r="B20" s="2">
        <v>2609</v>
      </c>
      <c r="C20" s="3">
        <v>5</v>
      </c>
      <c r="D20" s="3" t="s">
        <v>27</v>
      </c>
      <c r="E20" s="6">
        <v>44146</v>
      </c>
      <c r="F20" s="6">
        <v>45044</v>
      </c>
      <c r="G20" s="3">
        <f ca="1">G20*I20</f>
        <v>0</v>
      </c>
      <c r="H20" s="3">
        <f>I20*J20</f>
        <v>0</v>
      </c>
      <c r="I20" s="3">
        <f>K20*3</f>
        <v>0</v>
      </c>
      <c r="J20" s="3">
        <f>P20*7</f>
        <v>0</v>
      </c>
    </row>
    <row r="21" customHeight="1" spans="2:10">
      <c r="B21" s="2">
        <v>2627</v>
      </c>
      <c r="C21" s="3">
        <v>11</v>
      </c>
      <c r="D21" s="3" t="s">
        <v>27</v>
      </c>
      <c r="E21" s="6">
        <v>44146</v>
      </c>
      <c r="F21" s="6">
        <v>45044</v>
      </c>
      <c r="G21" s="3">
        <f ca="1">G21*I21</f>
        <v>0</v>
      </c>
      <c r="H21" s="3">
        <f>I21*J21</f>
        <v>0</v>
      </c>
      <c r="I21" s="3">
        <f>K21*3</f>
        <v>0</v>
      </c>
      <c r="J21" s="3">
        <f>P21*7</f>
        <v>0</v>
      </c>
    </row>
    <row r="22" customHeight="1" spans="2:10">
      <c r="B22" s="2">
        <v>2645</v>
      </c>
      <c r="C22" s="3">
        <v>12</v>
      </c>
      <c r="D22" s="3" t="s">
        <v>27</v>
      </c>
      <c r="E22" s="6">
        <v>44146</v>
      </c>
      <c r="F22" s="6">
        <v>45044</v>
      </c>
      <c r="G22" s="3">
        <f ca="1">G22*I22</f>
        <v>0</v>
      </c>
      <c r="H22" s="3">
        <f>I22*J22</f>
        <v>0</v>
      </c>
      <c r="I22" s="3">
        <f>K22*3</f>
        <v>0</v>
      </c>
      <c r="J22" s="3">
        <f>P22*7</f>
        <v>0</v>
      </c>
    </row>
    <row r="23" customHeight="1" spans="2:35">
      <c r="B23" s="2">
        <v>2721</v>
      </c>
      <c r="C23" s="3">
        <v>58</v>
      </c>
      <c r="D23" s="3" t="s">
        <v>27</v>
      </c>
      <c r="E23" s="6">
        <v>44123</v>
      </c>
      <c r="F23" s="6">
        <v>45044</v>
      </c>
      <c r="G23" s="3">
        <f ca="1">G23*I23</f>
        <v>0</v>
      </c>
      <c r="H23" s="3">
        <f>I23*J23</f>
        <v>0</v>
      </c>
      <c r="I23" s="3">
        <f>K23*3</f>
        <v>0</v>
      </c>
      <c r="J23" s="3">
        <f>P23*7</f>
        <v>0</v>
      </c>
      <c r="L23" s="3" t="s">
        <v>221</v>
      </c>
      <c r="AI23" s="3" t="s">
        <v>222</v>
      </c>
    </row>
    <row r="24" customHeight="1" spans="2:10">
      <c r="B24" s="2">
        <v>2610</v>
      </c>
      <c r="C24" s="3">
        <v>6</v>
      </c>
      <c r="D24" s="3" t="s">
        <v>27</v>
      </c>
      <c r="E24" s="6">
        <v>44103</v>
      </c>
      <c r="F24" s="6">
        <v>45044</v>
      </c>
      <c r="G24" s="3">
        <f ca="1">G24*I24</f>
        <v>0</v>
      </c>
      <c r="H24" s="3">
        <f>I24*J24</f>
        <v>0</v>
      </c>
      <c r="I24" s="3">
        <f>K24*3</f>
        <v>0</v>
      </c>
      <c r="J24" s="3">
        <f>P24*7</f>
        <v>0</v>
      </c>
    </row>
    <row r="25" customHeight="1" spans="2:11">
      <c r="B25" s="2">
        <v>2614</v>
      </c>
      <c r="C25" s="3">
        <v>8</v>
      </c>
      <c r="D25" s="3" t="s">
        <v>27</v>
      </c>
      <c r="E25" s="6">
        <v>44103</v>
      </c>
      <c r="F25" s="6">
        <v>45044</v>
      </c>
      <c r="G25" s="3">
        <f ca="1">G25*I25</f>
        <v>0</v>
      </c>
      <c r="H25" s="3">
        <f>I25*J25</f>
        <v>0</v>
      </c>
      <c r="J25" s="3">
        <f>P25*7</f>
        <v>0</v>
      </c>
      <c r="K25" s="3" t="s">
        <v>223</v>
      </c>
    </row>
    <row r="26" customHeight="1" spans="2:11">
      <c r="B26" s="2">
        <v>2615</v>
      </c>
      <c r="C26" s="3">
        <v>9</v>
      </c>
      <c r="D26" s="3" t="s">
        <v>27</v>
      </c>
      <c r="E26" s="6">
        <v>44103</v>
      </c>
      <c r="F26" s="6">
        <v>45044</v>
      </c>
      <c r="G26" s="3">
        <f ca="1">G26*I26</f>
        <v>0</v>
      </c>
      <c r="H26" s="3">
        <f>I26*J26</f>
        <v>0</v>
      </c>
      <c r="J26" s="3">
        <f>P26*7</f>
        <v>0</v>
      </c>
      <c r="K26" s="3" t="s">
        <v>224</v>
      </c>
    </row>
    <row r="27" customHeight="1" spans="2:10">
      <c r="B27" s="2">
        <v>2616</v>
      </c>
      <c r="C27" s="3">
        <v>10</v>
      </c>
      <c r="D27" s="3" t="s">
        <v>27</v>
      </c>
      <c r="E27" s="6">
        <v>44103</v>
      </c>
      <c r="F27" s="6">
        <v>45044</v>
      </c>
      <c r="G27" s="3">
        <f ca="1">G27*I27</f>
        <v>0</v>
      </c>
      <c r="H27" s="3">
        <f>I27*J27</f>
        <v>0</v>
      </c>
      <c r="I27" s="3">
        <f>K27*3</f>
        <v>0</v>
      </c>
      <c r="J27" s="3">
        <f>P27*7</f>
        <v>0</v>
      </c>
    </row>
    <row r="28" customHeight="1" spans="2:15">
      <c r="B28" s="2">
        <v>2705</v>
      </c>
      <c r="C28" s="3">
        <v>44</v>
      </c>
      <c r="D28" s="3" t="s">
        <v>27</v>
      </c>
      <c r="E28" s="6">
        <v>44101</v>
      </c>
      <c r="F28" s="6">
        <v>45044</v>
      </c>
      <c r="G28" s="3">
        <f ca="1">G28*I28</f>
        <v>0</v>
      </c>
      <c r="H28" s="3">
        <f>I28*J28</f>
        <v>0</v>
      </c>
      <c r="J28" s="3">
        <f>P28*7</f>
        <v>0</v>
      </c>
      <c r="K28" s="3" t="s">
        <v>225</v>
      </c>
      <c r="L28" s="3" t="s">
        <v>226</v>
      </c>
      <c r="O28" s="3" t="s">
        <v>186</v>
      </c>
    </row>
    <row r="29" customHeight="1" spans="2:10">
      <c r="B29" s="2">
        <v>2710</v>
      </c>
      <c r="C29" s="3">
        <v>49</v>
      </c>
      <c r="D29" s="3" t="s">
        <v>27</v>
      </c>
      <c r="E29" s="6">
        <v>44101</v>
      </c>
      <c r="F29" s="6">
        <v>45044</v>
      </c>
      <c r="G29" s="3">
        <f ca="1">G29*I29</f>
        <v>0</v>
      </c>
      <c r="H29" s="3">
        <f>I29*J29</f>
        <v>0</v>
      </c>
      <c r="I29" s="3">
        <f>K29*3</f>
        <v>0</v>
      </c>
      <c r="J29" s="3">
        <f>P29*7</f>
        <v>0</v>
      </c>
    </row>
    <row r="30" customHeight="1" spans="2:85">
      <c r="B30" s="2">
        <v>2711</v>
      </c>
      <c r="C30" s="3">
        <v>50</v>
      </c>
      <c r="D30" s="3" t="s">
        <v>27</v>
      </c>
      <c r="E30" s="6">
        <v>44101</v>
      </c>
      <c r="F30" s="6">
        <v>45044</v>
      </c>
      <c r="G30" s="3">
        <f ca="1">G30*I30</f>
        <v>0</v>
      </c>
      <c r="H30" s="3">
        <f>I30*J30</f>
        <v>0</v>
      </c>
      <c r="I30" s="3">
        <f>K30*3</f>
        <v>0</v>
      </c>
      <c r="J30" s="3">
        <f>P30*7</f>
        <v>0</v>
      </c>
      <c r="L30" s="3" t="s">
        <v>101</v>
      </c>
      <c r="CG30" s="3" t="s">
        <v>85</v>
      </c>
    </row>
    <row r="31" customHeight="1" spans="2:12">
      <c r="B31" s="2">
        <v>2707</v>
      </c>
      <c r="C31" s="3">
        <v>46</v>
      </c>
      <c r="D31" s="3" t="s">
        <v>27</v>
      </c>
      <c r="E31" s="6">
        <v>44101</v>
      </c>
      <c r="F31" s="6">
        <v>45044</v>
      </c>
      <c r="G31" s="3">
        <f ca="1">G31*I31</f>
        <v>0</v>
      </c>
      <c r="H31" s="3">
        <f>I31*J31</f>
        <v>0</v>
      </c>
      <c r="I31" s="3">
        <f>K31*3</f>
        <v>0</v>
      </c>
      <c r="J31" s="3">
        <f>P31*7</f>
        <v>0</v>
      </c>
      <c r="L31" s="3" t="s">
        <v>227</v>
      </c>
    </row>
    <row r="32" customHeight="1" spans="2:14">
      <c r="B32" s="2">
        <v>2708</v>
      </c>
      <c r="C32" s="3">
        <v>47</v>
      </c>
      <c r="D32" s="3" t="s">
        <v>27</v>
      </c>
      <c r="E32" s="6">
        <v>44101</v>
      </c>
      <c r="F32" s="6">
        <v>45044</v>
      </c>
      <c r="G32" s="3">
        <f ca="1">G32*I32</f>
        <v>0</v>
      </c>
      <c r="H32" s="3">
        <f>I32*J32</f>
        <v>0</v>
      </c>
      <c r="I32" s="3">
        <f>K32*3</f>
        <v>0</v>
      </c>
      <c r="J32" s="3">
        <f>P32*7</f>
        <v>0</v>
      </c>
      <c r="N32" s="3" t="s">
        <v>228</v>
      </c>
    </row>
    <row r="33" customHeight="1" spans="2:10">
      <c r="B33" s="2">
        <v>2709</v>
      </c>
      <c r="C33" s="3">
        <v>48</v>
      </c>
      <c r="D33" s="3" t="s">
        <v>27</v>
      </c>
      <c r="E33" s="6">
        <v>44097</v>
      </c>
      <c r="F33" s="6">
        <v>45044</v>
      </c>
      <c r="G33" s="3">
        <f ca="1">G33*I33</f>
        <v>0</v>
      </c>
      <c r="H33" s="3">
        <f>I33*J33</f>
        <v>0</v>
      </c>
      <c r="I33" s="3">
        <f>K33*3</f>
        <v>0</v>
      </c>
      <c r="J33" s="3">
        <f>P33*7</f>
        <v>0</v>
      </c>
    </row>
    <row r="34" customHeight="1" spans="2:16">
      <c r="B34" s="2">
        <v>2714</v>
      </c>
      <c r="C34" s="3">
        <v>51</v>
      </c>
      <c r="D34" s="3" t="s">
        <v>229</v>
      </c>
      <c r="E34" s="6">
        <v>44097</v>
      </c>
      <c r="F34" s="6">
        <v>45044</v>
      </c>
      <c r="G34" s="3">
        <f ca="1">G34*I34</f>
        <v>0</v>
      </c>
      <c r="H34" s="3">
        <f>I34*J34</f>
        <v>0</v>
      </c>
      <c r="I34" s="3">
        <f>K34*3</f>
        <v>0</v>
      </c>
      <c r="P34" s="3" t="s">
        <v>228</v>
      </c>
    </row>
    <row r="35" customHeight="1" spans="2:17">
      <c r="B35" s="2">
        <v>2715</v>
      </c>
      <c r="C35" s="3">
        <v>52</v>
      </c>
      <c r="D35" s="3" t="s">
        <v>229</v>
      </c>
      <c r="E35" s="6">
        <v>44097</v>
      </c>
      <c r="F35" s="6">
        <v>1</v>
      </c>
      <c r="G35" s="3">
        <f ca="1">G35*I35</f>
        <v>0</v>
      </c>
      <c r="H35" s="3">
        <f>I35*J35</f>
        <v>0</v>
      </c>
      <c r="I35" s="3">
        <f>K35*3</f>
        <v>0</v>
      </c>
      <c r="J35" s="3">
        <f>P35*7</f>
        <v>0</v>
      </c>
      <c r="Q35" s="3" t="s">
        <v>230</v>
      </c>
    </row>
    <row r="36" customHeight="1" spans="2:10">
      <c r="B36" s="2">
        <v>2716</v>
      </c>
      <c r="C36" s="3">
        <v>53</v>
      </c>
      <c r="D36" s="3" t="s">
        <v>231</v>
      </c>
      <c r="E36" s="6">
        <v>44097</v>
      </c>
      <c r="F36" s="6">
        <v>1</v>
      </c>
      <c r="G36" s="3">
        <f ca="1">G36*I36</f>
        <v>0</v>
      </c>
      <c r="H36" s="3">
        <f>I36*J36</f>
        <v>0</v>
      </c>
      <c r="I36" s="3">
        <f>K36*3</f>
        <v>0</v>
      </c>
      <c r="J36" s="3">
        <f>P36*7</f>
        <v>0</v>
      </c>
    </row>
    <row r="37" customHeight="1" spans="2:10">
      <c r="B37" s="2">
        <v>2717</v>
      </c>
      <c r="C37" s="3">
        <v>54</v>
      </c>
      <c r="D37" s="3" t="s">
        <v>231</v>
      </c>
      <c r="E37" s="6">
        <v>44097</v>
      </c>
      <c r="F37" s="6">
        <v>1</v>
      </c>
      <c r="G37" s="3">
        <f ca="1">G37*I37</f>
        <v>0</v>
      </c>
      <c r="H37" s="3">
        <f>I37*J37</f>
        <v>0</v>
      </c>
      <c r="I37" s="3">
        <f>K37*3</f>
        <v>0</v>
      </c>
      <c r="J37" s="3">
        <f>P37*7</f>
        <v>0</v>
      </c>
    </row>
    <row r="38" customHeight="1" spans="2:10">
      <c r="B38" s="2">
        <v>2718</v>
      </c>
      <c r="C38" s="3">
        <v>55</v>
      </c>
      <c r="D38" s="3" t="s">
        <v>231</v>
      </c>
      <c r="E38" s="6">
        <v>44097</v>
      </c>
      <c r="F38" s="6">
        <v>1</v>
      </c>
      <c r="G38" s="3">
        <f ca="1">G38*I38</f>
        <v>0</v>
      </c>
      <c r="H38" s="3">
        <f>I38*J38</f>
        <v>0</v>
      </c>
      <c r="I38" s="3">
        <f>K38*3</f>
        <v>0</v>
      </c>
      <c r="J38" s="3">
        <f>P38*7</f>
        <v>0</v>
      </c>
    </row>
    <row r="39" customHeight="1" spans="2:10">
      <c r="B39" s="2">
        <v>2719</v>
      </c>
      <c r="C39" s="3">
        <v>56</v>
      </c>
      <c r="D39" s="3" t="s">
        <v>231</v>
      </c>
      <c r="E39" s="6">
        <v>44097</v>
      </c>
      <c r="F39" s="6">
        <v>1</v>
      </c>
      <c r="G39" s="3">
        <f ca="1">G39*I39</f>
        <v>0</v>
      </c>
      <c r="H39" s="3">
        <f>I39*J39</f>
        <v>0</v>
      </c>
      <c r="I39" s="3">
        <f>K39*3</f>
        <v>0</v>
      </c>
      <c r="J39" s="3">
        <f>P39*7</f>
        <v>0</v>
      </c>
    </row>
    <row r="40" customHeight="1" spans="2:10">
      <c r="B40" s="2">
        <v>2720</v>
      </c>
      <c r="C40" s="3">
        <v>57</v>
      </c>
      <c r="D40" s="3" t="s">
        <v>231</v>
      </c>
      <c r="E40" s="6">
        <v>44097</v>
      </c>
      <c r="F40" s="6">
        <v>1</v>
      </c>
      <c r="G40" s="3">
        <f ca="1">G40*I40</f>
        <v>0</v>
      </c>
      <c r="H40" s="3">
        <f>I40*J40</f>
        <v>0</v>
      </c>
      <c r="I40" s="3">
        <f>K40*3</f>
        <v>0</v>
      </c>
      <c r="J40" s="3">
        <f>P40*7</f>
        <v>0</v>
      </c>
    </row>
    <row r="41" customHeight="1" spans="2:10">
      <c r="B41" s="2">
        <v>2706</v>
      </c>
      <c r="C41" s="3">
        <v>45</v>
      </c>
      <c r="D41" s="3" t="s">
        <v>27</v>
      </c>
      <c r="E41" s="6">
        <v>44097</v>
      </c>
      <c r="F41" s="6">
        <v>1</v>
      </c>
      <c r="G41" s="3">
        <f ca="1">G41*I41</f>
        <v>0</v>
      </c>
      <c r="H41" s="3">
        <f>I41*J41</f>
        <v>0</v>
      </c>
      <c r="I41" s="3">
        <f>K41*3</f>
        <v>0</v>
      </c>
      <c r="J41" s="3">
        <f>P41*7</f>
        <v>0</v>
      </c>
    </row>
    <row r="42" customHeight="1" spans="2:35">
      <c r="B42" s="2">
        <v>2722</v>
      </c>
      <c r="C42" s="3">
        <v>59</v>
      </c>
      <c r="D42" s="3" t="s">
        <v>232</v>
      </c>
      <c r="E42" s="6">
        <v>44097</v>
      </c>
      <c r="F42" s="6">
        <v>45044</v>
      </c>
      <c r="G42" s="3">
        <f ca="1">G42*I42</f>
        <v>0</v>
      </c>
      <c r="H42" s="3">
        <f>I42*J42</f>
        <v>0</v>
      </c>
      <c r="J42" s="3">
        <f>P42*7</f>
        <v>0</v>
      </c>
      <c r="K42" s="3" t="s">
        <v>233</v>
      </c>
      <c r="AI42" s="3" t="s">
        <v>85</v>
      </c>
    </row>
    <row r="43" customHeight="1" spans="2:10">
      <c r="B43" s="2">
        <v>2723</v>
      </c>
      <c r="C43" s="3">
        <v>60</v>
      </c>
      <c r="D43" s="3" t="s">
        <v>232</v>
      </c>
      <c r="E43" s="6">
        <v>44097</v>
      </c>
      <c r="F43" s="6">
        <v>1</v>
      </c>
      <c r="G43" s="3">
        <f ca="1">G43*I43</f>
        <v>0</v>
      </c>
      <c r="H43" s="3">
        <f>I43*J43</f>
        <v>0</v>
      </c>
      <c r="I43" s="3">
        <f>K43*3</f>
        <v>0</v>
      </c>
      <c r="J43" s="3">
        <f>P43*7</f>
        <v>0</v>
      </c>
    </row>
    <row r="44" customHeight="1" spans="2:85">
      <c r="B44" s="2">
        <v>2724</v>
      </c>
      <c r="C44" s="3">
        <v>61</v>
      </c>
      <c r="D44" s="3" t="s">
        <v>232</v>
      </c>
      <c r="E44" s="6">
        <v>44097</v>
      </c>
      <c r="F44" s="6">
        <v>1</v>
      </c>
      <c r="G44" s="3">
        <f ca="1">G44*I44</f>
        <v>0</v>
      </c>
      <c r="H44" s="3">
        <f>I44*J44</f>
        <v>0</v>
      </c>
      <c r="J44" s="3">
        <f>P44*7</f>
        <v>0</v>
      </c>
      <c r="K44" s="3" t="s">
        <v>233</v>
      </c>
      <c r="CG44" s="3" t="s">
        <v>85</v>
      </c>
    </row>
    <row r="45" customHeight="1" spans="2:10">
      <c r="B45" s="2">
        <v>2725</v>
      </c>
      <c r="C45" s="3">
        <v>62</v>
      </c>
      <c r="D45" s="3" t="s">
        <v>232</v>
      </c>
      <c r="E45" s="6">
        <v>44097</v>
      </c>
      <c r="F45" s="6">
        <v>1</v>
      </c>
      <c r="G45" s="3">
        <f ca="1">G45*I45</f>
        <v>0</v>
      </c>
      <c r="H45" s="3">
        <f>I45*J45</f>
        <v>0</v>
      </c>
      <c r="I45" s="3">
        <f>K45*3</f>
        <v>0</v>
      </c>
      <c r="J45" s="3">
        <f>P45*7</f>
        <v>0</v>
      </c>
    </row>
    <row r="46" customHeight="1" spans="2:10">
      <c r="B46" s="2">
        <v>2726</v>
      </c>
      <c r="C46" s="3">
        <v>63</v>
      </c>
      <c r="D46" s="3" t="s">
        <v>232</v>
      </c>
      <c r="E46" s="6">
        <v>44097</v>
      </c>
      <c r="F46" s="6">
        <v>1</v>
      </c>
      <c r="G46" s="3">
        <f ca="1">G46*I46</f>
        <v>0</v>
      </c>
      <c r="H46" s="3">
        <f>I46*J46</f>
        <v>0</v>
      </c>
      <c r="I46" s="3">
        <f>K46*3</f>
        <v>0</v>
      </c>
      <c r="J46" s="3">
        <f>P46*7</f>
        <v>0</v>
      </c>
    </row>
    <row r="47" customHeight="1" spans="2:10">
      <c r="B47" s="2">
        <v>2727</v>
      </c>
      <c r="C47" s="3">
        <v>64</v>
      </c>
      <c r="D47" s="3" t="s">
        <v>231</v>
      </c>
      <c r="E47" s="6">
        <v>44097</v>
      </c>
      <c r="F47" s="6">
        <v>1</v>
      </c>
      <c r="G47" s="3">
        <f ca="1">G47*I47</f>
        <v>0</v>
      </c>
      <c r="H47" s="3">
        <f>I47*J47</f>
        <v>0</v>
      </c>
      <c r="I47" s="3">
        <f>K47*3</f>
        <v>0</v>
      </c>
      <c r="J47" s="3">
        <f>P47*7</f>
        <v>0</v>
      </c>
    </row>
    <row r="48" customHeight="1" spans="2:106">
      <c r="B48" s="2">
        <v>2685</v>
      </c>
      <c r="C48" s="3">
        <v>35</v>
      </c>
      <c r="D48" s="3" t="s">
        <v>27</v>
      </c>
      <c r="E48" s="6">
        <v>44097</v>
      </c>
      <c r="F48" s="6">
        <v>45044</v>
      </c>
      <c r="G48" s="3">
        <f ca="1">G48*I48</f>
        <v>0</v>
      </c>
      <c r="H48" s="3">
        <f>I48*J48</f>
        <v>0</v>
      </c>
      <c r="I48" s="3">
        <f>K48*3</f>
        <v>0</v>
      </c>
      <c r="J48" s="3">
        <f>P48*7</f>
        <v>0</v>
      </c>
      <c r="DB48" s="3">
        <v>370</v>
      </c>
    </row>
    <row r="49" customHeight="1" spans="2:10">
      <c r="B49" s="2">
        <v>2697</v>
      </c>
      <c r="C49" s="3">
        <v>36</v>
      </c>
      <c r="D49" s="3" t="s">
        <v>27</v>
      </c>
      <c r="E49" s="6">
        <v>44097</v>
      </c>
      <c r="F49" s="6">
        <v>45044</v>
      </c>
      <c r="G49" s="3">
        <f ca="1">G49*I49</f>
        <v>0</v>
      </c>
      <c r="H49" s="3">
        <f>I49*J49</f>
        <v>0</v>
      </c>
      <c r="I49" s="3">
        <f>K49*3</f>
        <v>0</v>
      </c>
      <c r="J49" s="3">
        <f>P49*7</f>
        <v>0</v>
      </c>
    </row>
    <row r="50" customHeight="1" spans="2:10">
      <c r="B50" s="2">
        <v>2698</v>
      </c>
      <c r="C50" s="3">
        <v>37</v>
      </c>
      <c r="D50" s="3" t="s">
        <v>27</v>
      </c>
      <c r="E50" s="6">
        <v>44097</v>
      </c>
      <c r="F50" s="6">
        <v>45044</v>
      </c>
      <c r="G50" s="3">
        <f ca="1">G50*I50</f>
        <v>0</v>
      </c>
      <c r="H50" s="3">
        <f>I50*J50</f>
        <v>0</v>
      </c>
      <c r="I50" s="3">
        <f>K50*3</f>
        <v>0</v>
      </c>
      <c r="J50" s="3">
        <f>P50*7</f>
        <v>0</v>
      </c>
    </row>
    <row r="51" customHeight="1" spans="2:10">
      <c r="B51" s="2">
        <v>2699</v>
      </c>
      <c r="C51" s="3">
        <v>38</v>
      </c>
      <c r="D51" s="3" t="s">
        <v>27</v>
      </c>
      <c r="E51" s="6">
        <v>44097</v>
      </c>
      <c r="F51" s="6">
        <v>45044</v>
      </c>
      <c r="G51" s="3">
        <f ca="1">G51*I51</f>
        <v>0</v>
      </c>
      <c r="H51" s="3">
        <f>I51*J51</f>
        <v>0</v>
      </c>
      <c r="I51" s="3">
        <f>K51*3</f>
        <v>0</v>
      </c>
      <c r="J51" s="3">
        <f>P51*7</f>
        <v>0</v>
      </c>
    </row>
    <row r="52" customHeight="1" spans="2:10">
      <c r="B52" s="2">
        <v>2700</v>
      </c>
      <c r="C52" s="3">
        <v>39</v>
      </c>
      <c r="D52" s="3" t="s">
        <v>27</v>
      </c>
      <c r="E52" s="6">
        <v>44097</v>
      </c>
      <c r="F52" s="6">
        <v>45044</v>
      </c>
      <c r="G52" s="3">
        <f ca="1">G52*I52</f>
        <v>0</v>
      </c>
      <c r="H52" s="3">
        <f>I52*J52</f>
        <v>0</v>
      </c>
      <c r="I52" s="3">
        <f>K52*3</f>
        <v>0</v>
      </c>
      <c r="J52" s="3">
        <f>P52*7</f>
        <v>0</v>
      </c>
    </row>
    <row r="53" customHeight="1" spans="2:10">
      <c r="B53" s="2">
        <v>2701</v>
      </c>
      <c r="C53" s="3">
        <v>40</v>
      </c>
      <c r="D53" s="3" t="s">
        <v>27</v>
      </c>
      <c r="E53" s="6">
        <v>44097</v>
      </c>
      <c r="F53" s="6">
        <v>45044</v>
      </c>
      <c r="G53" s="3">
        <f ca="1">G53*I53</f>
        <v>0</v>
      </c>
      <c r="H53" s="3">
        <f>I53*J53</f>
        <v>0</v>
      </c>
      <c r="I53" s="3">
        <f>K53*3</f>
        <v>0</v>
      </c>
      <c r="J53" s="3">
        <f>P53*7</f>
        <v>0</v>
      </c>
    </row>
    <row r="54" customHeight="1" spans="2:10">
      <c r="B54" s="2">
        <v>2702</v>
      </c>
      <c r="C54" s="3">
        <v>41</v>
      </c>
      <c r="D54" s="3" t="s">
        <v>27</v>
      </c>
      <c r="E54" s="6">
        <v>44097</v>
      </c>
      <c r="F54" s="6">
        <v>45044</v>
      </c>
      <c r="G54" s="3">
        <f ca="1">G54*I54</f>
        <v>0</v>
      </c>
      <c r="H54" s="3">
        <f>I54*J54</f>
        <v>0</v>
      </c>
      <c r="I54" s="3">
        <f>K54*3</f>
        <v>0</v>
      </c>
      <c r="J54" s="3">
        <f>P54*7</f>
        <v>0</v>
      </c>
    </row>
    <row r="55" customHeight="1" spans="2:10">
      <c r="B55" s="2">
        <v>2703</v>
      </c>
      <c r="C55" s="3">
        <v>42</v>
      </c>
      <c r="D55" s="3" t="s">
        <v>27</v>
      </c>
      <c r="E55" s="6">
        <v>44097</v>
      </c>
      <c r="F55" s="6">
        <v>45044</v>
      </c>
      <c r="G55" s="3">
        <f ca="1">G55*I55</f>
        <v>0</v>
      </c>
      <c r="H55" s="3">
        <f>I55*J55</f>
        <v>0</v>
      </c>
      <c r="I55" s="3">
        <f>K55*3</f>
        <v>0</v>
      </c>
      <c r="J55" s="3">
        <f>P55*7</f>
        <v>0</v>
      </c>
    </row>
    <row r="56" customHeight="1" spans="2:10">
      <c r="B56" s="2">
        <v>2704</v>
      </c>
      <c r="C56" s="3">
        <v>43</v>
      </c>
      <c r="D56" s="3" t="s">
        <v>27</v>
      </c>
      <c r="E56" s="6">
        <v>44097</v>
      </c>
      <c r="F56" s="6">
        <v>45044</v>
      </c>
      <c r="G56" s="3">
        <f ca="1">G56*I56</f>
        <v>0</v>
      </c>
      <c r="H56" s="3">
        <f>I56*J56</f>
        <v>0</v>
      </c>
      <c r="I56" s="3">
        <f>K56*3</f>
        <v>0</v>
      </c>
      <c r="J56" s="3">
        <f>P56*7</f>
        <v>0</v>
      </c>
    </row>
    <row r="57" customHeight="1" spans="2:10">
      <c r="B57" s="2">
        <v>2647</v>
      </c>
      <c r="C57" s="3">
        <v>13</v>
      </c>
      <c r="D57" s="3" t="s">
        <v>27</v>
      </c>
      <c r="E57" s="6">
        <v>44095</v>
      </c>
      <c r="F57" s="6">
        <v>45044</v>
      </c>
      <c r="G57" s="3">
        <f ca="1">G57*I57</f>
        <v>0</v>
      </c>
      <c r="H57" s="3">
        <f>I57*J57</f>
        <v>0</v>
      </c>
      <c r="I57" s="3">
        <f>K57*3</f>
        <v>0</v>
      </c>
      <c r="J57" s="3">
        <f>P57*7</f>
        <v>0</v>
      </c>
    </row>
    <row r="58" customHeight="1" spans="2:10">
      <c r="B58" s="2">
        <v>2649</v>
      </c>
      <c r="C58" s="3">
        <v>14</v>
      </c>
      <c r="D58" s="3" t="s">
        <v>27</v>
      </c>
      <c r="E58" s="6">
        <v>44092</v>
      </c>
      <c r="F58" s="6">
        <v>45044</v>
      </c>
      <c r="G58" s="3">
        <f ca="1">G58*I58</f>
        <v>0</v>
      </c>
      <c r="H58" s="3">
        <f>I58*J58</f>
        <v>0</v>
      </c>
      <c r="I58" s="3">
        <f>K58*3</f>
        <v>0</v>
      </c>
      <c r="J58" s="3">
        <f>P58*7</f>
        <v>0</v>
      </c>
    </row>
    <row r="59" customHeight="1" spans="2:10">
      <c r="B59" s="2">
        <v>2679</v>
      </c>
      <c r="C59" s="3">
        <v>33</v>
      </c>
      <c r="D59" s="3" t="s">
        <v>27</v>
      </c>
      <c r="E59" s="6">
        <v>44092</v>
      </c>
      <c r="F59" s="6">
        <v>1</v>
      </c>
      <c r="G59" s="3">
        <f ca="1">G59*I59</f>
        <v>0</v>
      </c>
      <c r="H59" s="3">
        <f>I59*J59</f>
        <v>0</v>
      </c>
      <c r="I59" s="3">
        <f>K59*3</f>
        <v>0</v>
      </c>
      <c r="J59" s="3">
        <f>P59*7</f>
        <v>0</v>
      </c>
    </row>
    <row r="60" customHeight="1" spans="2:10">
      <c r="B60" s="2">
        <v>2680</v>
      </c>
      <c r="C60" s="3">
        <v>34</v>
      </c>
      <c r="D60" s="3" t="s">
        <v>27</v>
      </c>
      <c r="E60" s="6">
        <v>44092</v>
      </c>
      <c r="F60" s="6">
        <v>1</v>
      </c>
      <c r="G60" s="3">
        <f ca="1">G60*I60</f>
        <v>0</v>
      </c>
      <c r="H60" s="3">
        <f>I60*J60</f>
        <v>0</v>
      </c>
      <c r="I60" s="3">
        <f>K60*3</f>
        <v>0</v>
      </c>
      <c r="J60" s="3">
        <f>P60*7</f>
        <v>0</v>
      </c>
    </row>
    <row r="61" customHeight="1" spans="2:10">
      <c r="B61" s="2">
        <v>2650</v>
      </c>
      <c r="C61" s="3">
        <v>15</v>
      </c>
      <c r="D61" s="3" t="s">
        <v>27</v>
      </c>
      <c r="E61" s="6">
        <v>44091</v>
      </c>
      <c r="F61" s="6">
        <v>1</v>
      </c>
      <c r="G61" s="3">
        <f ca="1">G61*I61</f>
        <v>0</v>
      </c>
      <c r="H61" s="3">
        <f>I61*J61</f>
        <v>0</v>
      </c>
      <c r="I61" s="3">
        <f>K61*3</f>
        <v>0</v>
      </c>
      <c r="J61" s="3">
        <f>P61*7</f>
        <v>0</v>
      </c>
    </row>
    <row r="62" customHeight="1" spans="2:10">
      <c r="B62" s="2">
        <v>2651</v>
      </c>
      <c r="C62" s="3">
        <v>16</v>
      </c>
      <c r="D62" s="3" t="s">
        <v>27</v>
      </c>
      <c r="E62" s="6">
        <v>44091</v>
      </c>
      <c r="F62" s="6">
        <v>45044</v>
      </c>
      <c r="G62" s="3">
        <f ca="1">G62*I62</f>
        <v>0</v>
      </c>
      <c r="H62" s="3">
        <f>I62*J62</f>
        <v>0</v>
      </c>
      <c r="I62" s="3">
        <f>K62*3</f>
        <v>0</v>
      </c>
      <c r="J62" s="3">
        <f>P62*7</f>
        <v>0</v>
      </c>
    </row>
    <row r="63" customHeight="1" spans="2:10">
      <c r="B63" s="2">
        <v>2652</v>
      </c>
      <c r="C63" s="3">
        <v>17</v>
      </c>
      <c r="D63" s="3" t="s">
        <v>27</v>
      </c>
      <c r="E63" s="6">
        <v>44091</v>
      </c>
      <c r="F63" s="6">
        <v>1</v>
      </c>
      <c r="G63" s="3">
        <f ca="1">G63*I63</f>
        <v>0</v>
      </c>
      <c r="H63" s="3">
        <f>I63*J63</f>
        <v>0</v>
      </c>
      <c r="I63" s="3">
        <f>K63*3</f>
        <v>0</v>
      </c>
      <c r="J63" s="3">
        <f>P63*7</f>
        <v>0</v>
      </c>
    </row>
    <row r="64" customHeight="1" spans="2:10">
      <c r="B64" s="2">
        <v>2653</v>
      </c>
      <c r="C64" s="3">
        <v>18</v>
      </c>
      <c r="D64" s="3" t="s">
        <v>27</v>
      </c>
      <c r="E64" s="6">
        <v>44091</v>
      </c>
      <c r="F64" s="6">
        <v>45044</v>
      </c>
      <c r="G64" s="3">
        <f ca="1">G64*I64</f>
        <v>0</v>
      </c>
      <c r="H64" s="3">
        <f>I64*J64</f>
        <v>0</v>
      </c>
      <c r="I64" s="3">
        <f>K64*3</f>
        <v>0</v>
      </c>
      <c r="J64" s="3">
        <f>P64*7</f>
        <v>0</v>
      </c>
    </row>
    <row r="65" customHeight="1" spans="2:10">
      <c r="B65" s="2">
        <v>2654</v>
      </c>
      <c r="C65" s="3">
        <v>19</v>
      </c>
      <c r="D65" s="3" t="s">
        <v>27</v>
      </c>
      <c r="E65" s="6">
        <v>44091</v>
      </c>
      <c r="F65" s="6">
        <v>45044</v>
      </c>
      <c r="G65" s="3">
        <f ca="1">G65*I65</f>
        <v>0</v>
      </c>
      <c r="H65" s="3">
        <f>I65*J65</f>
        <v>0</v>
      </c>
      <c r="I65" s="3">
        <f>K65*3</f>
        <v>0</v>
      </c>
      <c r="J65" s="3">
        <f>P65*7</f>
        <v>0</v>
      </c>
    </row>
    <row r="66" customHeight="1" spans="2:10">
      <c r="B66" s="2">
        <v>2655</v>
      </c>
      <c r="C66" s="3">
        <v>20</v>
      </c>
      <c r="D66" s="3" t="s">
        <v>27</v>
      </c>
      <c r="E66" s="6">
        <v>44091</v>
      </c>
      <c r="F66" s="6">
        <v>1</v>
      </c>
      <c r="G66" s="3">
        <f ca="1">G66*I66</f>
        <v>0</v>
      </c>
      <c r="H66" s="3">
        <f>I66*J66</f>
        <v>0</v>
      </c>
      <c r="I66" s="3">
        <f>K66*3</f>
        <v>0</v>
      </c>
      <c r="J66" s="3">
        <f>P66*7</f>
        <v>0</v>
      </c>
    </row>
    <row r="67" customHeight="1" spans="2:10">
      <c r="B67" s="2">
        <v>2656</v>
      </c>
      <c r="C67" s="3">
        <v>21</v>
      </c>
      <c r="D67" s="3" t="s">
        <v>27</v>
      </c>
      <c r="E67" s="6">
        <v>44091</v>
      </c>
      <c r="F67" s="6">
        <v>1</v>
      </c>
      <c r="G67" s="3">
        <f ca="1">G67*I67</f>
        <v>0</v>
      </c>
      <c r="H67" s="3">
        <f>I67*J67</f>
        <v>0</v>
      </c>
      <c r="I67" s="3">
        <f>K67*3</f>
        <v>0</v>
      </c>
      <c r="J67" s="3">
        <f>P67*7</f>
        <v>0</v>
      </c>
    </row>
    <row r="68" customHeight="1" spans="2:10">
      <c r="B68" s="2">
        <v>2657</v>
      </c>
      <c r="C68" s="3">
        <v>22</v>
      </c>
      <c r="D68" s="3" t="s">
        <v>27</v>
      </c>
      <c r="E68" s="6">
        <v>44091</v>
      </c>
      <c r="F68" s="6">
        <v>1</v>
      </c>
      <c r="G68" s="3">
        <f ca="1">G68*I68</f>
        <v>0</v>
      </c>
      <c r="H68" s="3">
        <f>I68*J68</f>
        <v>0</v>
      </c>
      <c r="I68" s="3">
        <f>K68*3</f>
        <v>0</v>
      </c>
      <c r="J68" s="3">
        <f>P68*7</f>
        <v>0</v>
      </c>
    </row>
    <row r="69" customHeight="1" spans="2:10">
      <c r="B69" s="2">
        <v>2658</v>
      </c>
      <c r="C69" s="3">
        <v>23</v>
      </c>
      <c r="D69" s="3" t="s">
        <v>27</v>
      </c>
      <c r="E69" s="6">
        <v>44091</v>
      </c>
      <c r="F69" s="6">
        <v>45044</v>
      </c>
      <c r="G69" s="3">
        <f ca="1">G69*I69</f>
        <v>0</v>
      </c>
      <c r="H69" s="3">
        <f>I69*J69</f>
        <v>0</v>
      </c>
      <c r="I69" s="3">
        <f>K69*3</f>
        <v>0</v>
      </c>
      <c r="J69" s="3">
        <f>P69*7</f>
        <v>0</v>
      </c>
    </row>
    <row r="70" customHeight="1" spans="2:10">
      <c r="B70" s="2">
        <v>2659</v>
      </c>
      <c r="C70" s="3">
        <v>24</v>
      </c>
      <c r="D70" s="3" t="s">
        <v>27</v>
      </c>
      <c r="E70" s="6">
        <v>44091</v>
      </c>
      <c r="F70" s="6">
        <v>45044</v>
      </c>
      <c r="G70" s="3">
        <f ca="1">G70*I70</f>
        <v>0</v>
      </c>
      <c r="H70" s="3">
        <f>I70*J70</f>
        <v>0</v>
      </c>
      <c r="I70" s="3">
        <f>K70*3</f>
        <v>0</v>
      </c>
      <c r="J70" s="3">
        <f>P70*7</f>
        <v>0</v>
      </c>
    </row>
    <row r="71" customHeight="1" spans="2:10">
      <c r="B71" s="2">
        <v>2660</v>
      </c>
      <c r="C71" s="3">
        <v>25</v>
      </c>
      <c r="D71" s="3" t="s">
        <v>27</v>
      </c>
      <c r="E71" s="6">
        <v>44091</v>
      </c>
      <c r="F71" s="6">
        <v>45044</v>
      </c>
      <c r="G71" s="3">
        <f ca="1">G71*I71</f>
        <v>0</v>
      </c>
      <c r="H71" s="3">
        <f>I71*J71</f>
        <v>0</v>
      </c>
      <c r="I71" s="3">
        <f>K71*3</f>
        <v>0</v>
      </c>
      <c r="J71" s="3">
        <f>P71*7</f>
        <v>0</v>
      </c>
    </row>
    <row r="72" customHeight="1" spans="2:10">
      <c r="B72" s="2">
        <v>2662</v>
      </c>
      <c r="C72" s="3">
        <v>26</v>
      </c>
      <c r="D72" s="3" t="s">
        <v>27</v>
      </c>
      <c r="E72" s="6">
        <v>44091</v>
      </c>
      <c r="F72" s="6">
        <v>45044</v>
      </c>
      <c r="G72" s="3">
        <f ca="1">G72*I72</f>
        <v>0</v>
      </c>
      <c r="H72" s="3">
        <f>I72*J72</f>
        <v>0</v>
      </c>
      <c r="I72" s="3">
        <f>K72*3</f>
        <v>0</v>
      </c>
      <c r="J72" s="3">
        <f>P72*7</f>
        <v>0</v>
      </c>
    </row>
    <row r="73" customHeight="1" spans="2:10">
      <c r="B73" s="2">
        <v>2663</v>
      </c>
      <c r="C73" s="3">
        <v>27</v>
      </c>
      <c r="D73" s="3" t="s">
        <v>27</v>
      </c>
      <c r="E73" s="6">
        <v>44091</v>
      </c>
      <c r="F73" s="6">
        <v>1</v>
      </c>
      <c r="G73" s="3">
        <f ca="1">G73*I73</f>
        <v>0</v>
      </c>
      <c r="H73" s="3">
        <f>I73*J73</f>
        <v>0</v>
      </c>
      <c r="I73" s="3">
        <f>K73*3</f>
        <v>0</v>
      </c>
      <c r="J73" s="3">
        <f>P73*7</f>
        <v>0</v>
      </c>
    </row>
    <row r="74" customHeight="1" spans="2:10">
      <c r="B74" s="2">
        <v>2664</v>
      </c>
      <c r="C74" s="3">
        <v>28</v>
      </c>
      <c r="D74" s="3" t="s">
        <v>27</v>
      </c>
      <c r="E74" s="6">
        <v>44091</v>
      </c>
      <c r="F74" s="6">
        <v>45044</v>
      </c>
      <c r="G74" s="3">
        <f ca="1">G74*I74</f>
        <v>0</v>
      </c>
      <c r="H74" s="3">
        <f>I74*J74</f>
        <v>0</v>
      </c>
      <c r="I74" s="3">
        <f>K74*3</f>
        <v>0</v>
      </c>
      <c r="J74" s="3">
        <f>P74*7</f>
        <v>0</v>
      </c>
    </row>
    <row r="75" customHeight="1" spans="2:10">
      <c r="B75" s="2">
        <v>2667</v>
      </c>
      <c r="C75" s="3">
        <v>29</v>
      </c>
      <c r="D75" s="3" t="s">
        <v>27</v>
      </c>
      <c r="E75" s="6">
        <v>44091</v>
      </c>
      <c r="F75" s="6">
        <v>1</v>
      </c>
      <c r="G75" s="3">
        <f ca="1">G75*I75</f>
        <v>0</v>
      </c>
      <c r="H75" s="3">
        <f>I75*J75</f>
        <v>0</v>
      </c>
      <c r="I75" s="3">
        <f>K75*3</f>
        <v>0</v>
      </c>
      <c r="J75" s="3">
        <f>P75*7</f>
        <v>0</v>
      </c>
    </row>
    <row r="76" customHeight="1" spans="2:10">
      <c r="B76" s="2">
        <v>2668</v>
      </c>
      <c r="C76" s="3">
        <v>30</v>
      </c>
      <c r="D76" s="3" t="s">
        <v>27</v>
      </c>
      <c r="E76" s="6">
        <v>44091</v>
      </c>
      <c r="F76" s="6">
        <v>1</v>
      </c>
      <c r="G76" s="3">
        <f ca="1">G76*I76</f>
        <v>0</v>
      </c>
      <c r="H76" s="3">
        <f>I76*J76</f>
        <v>0</v>
      </c>
      <c r="I76" s="3">
        <f>K76*3</f>
        <v>0</v>
      </c>
      <c r="J76" s="3">
        <f>P76*7</f>
        <v>0</v>
      </c>
    </row>
    <row r="77" customHeight="1" spans="2:10">
      <c r="B77" s="2">
        <v>2669</v>
      </c>
      <c r="C77" s="3">
        <v>31</v>
      </c>
      <c r="D77" s="3" t="s">
        <v>27</v>
      </c>
      <c r="E77" s="6">
        <v>44091</v>
      </c>
      <c r="F77" s="6">
        <v>44810</v>
      </c>
      <c r="G77" s="3">
        <f ca="1">G77*I77</f>
        <v>0</v>
      </c>
      <c r="H77" s="3">
        <f>I77*J77</f>
        <v>0</v>
      </c>
      <c r="I77" s="3">
        <f>K77*3</f>
        <v>0</v>
      </c>
      <c r="J77" s="3">
        <f>P77*7</f>
        <v>0</v>
      </c>
    </row>
    <row r="78" customHeight="1" spans="2:10">
      <c r="B78" s="2">
        <v>2673</v>
      </c>
      <c r="C78" s="3">
        <v>32</v>
      </c>
      <c r="D78" s="3" t="s">
        <v>27</v>
      </c>
      <c r="E78" s="6">
        <v>44091</v>
      </c>
      <c r="F78" s="6">
        <v>45044</v>
      </c>
      <c r="G78" s="3">
        <f ca="1">G78*I78</f>
        <v>0</v>
      </c>
      <c r="H78" s="3">
        <f>I78*J78</f>
        <v>0</v>
      </c>
      <c r="I78" s="3">
        <f>K78*3</f>
        <v>0</v>
      </c>
      <c r="J78" s="3">
        <f>P78*7</f>
        <v>0</v>
      </c>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2023-08-10T01:21:24Z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