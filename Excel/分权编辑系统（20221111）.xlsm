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525" windowHeight="8340" tabRatio="889"/>
  </bookViews>
  <sheets>
    <sheet name="首页" sheetId="1" r:id="rId1"/>
    <sheet name="说明书" sheetId="2" state="veryHidden" r:id="rId2"/>
    <sheet name="Sheet3" sheetId="3" state="veryHidden" r:id="rId3"/>
    <sheet name="人员管理" sheetId="4" state="veryHidden" r:id="rId4"/>
    <sheet name="人员权限设置" sheetId="5" state="veryHidden" r:id="rId5"/>
    <sheet name="部门权限设置" sheetId="6" state="veryHidden" r:id="rId6"/>
    <sheet name="工作台使用状态" sheetId="7" state="veryHidden" r:id="rId7"/>
    <sheet name="工作台权限设置" sheetId="8" state="veryHidden" r:id="rId8"/>
    <sheet name="公司数据分析" sheetId="9" state="veryHidden" r:id="rId9"/>
    <sheet name="人员数据分析" sheetId="10" state="veryHidden" r:id="rId10"/>
    <sheet name="工作台公式设置" sheetId="12" state="veryHidden" r:id="rId11"/>
    <sheet name="工作台" sheetId="11" state="veryHidden" r:id="rId12"/>
  </sheets>
  <definedNames>
    <definedName name="_xlnm._FilterDatabase" localSheetId="3" hidden="1">人员管理!$C$4:$K$12</definedName>
  </definedNames>
  <calcPr calcId="144525"/>
</workbook>
</file>

<file path=xl/sharedStrings.xml><?xml version="1.0" encoding="utf-8"?>
<sst xmlns="http://schemas.openxmlformats.org/spreadsheetml/2006/main" count="1231" uniqueCount="229">
  <si>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</si>
  <si>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人员管理</t>
  </si>
  <si>
    <t>当前页:</t>
  </si>
  <si>
    <t>1.</t>
  </si>
  <si>
    <t>在页面上填好信息后点击保存按钮会将数据保存到数据库中，如果是新增则会在人员权限设置中添加两条空数据。</t>
  </si>
  <si>
    <t>2.</t>
  </si>
  <si>
    <t>点击刷新按钮可以显示全部数据。</t>
  </si>
  <si>
    <t>3.</t>
  </si>
  <si>
    <t>选中想要删除的数据后点击删除按钮会将数据从数据库中删除，并且也删除人员权限设置中对应的数据。</t>
  </si>
  <si>
    <t>4.</t>
  </si>
  <si>
    <t>点击查询按钮可以按照条件进行查询。</t>
  </si>
  <si>
    <t>此页面为及时保存，编辑单元格后会直接保存到数据库中。</t>
  </si>
  <si>
    <t>点击刷新按钮可以显示全部的修改权限数据。</t>
  </si>
  <si>
    <t>点击查询按钮可以选择查询修改权限数据或查询权限的数据。</t>
  </si>
  <si>
    <t>在页面上填好信息后点击保存按钮会将数据保存到数据库中。</t>
  </si>
  <si>
    <t>选中想要删除的数据后点击删除按钮会将数据从数据库中删除。</t>
  </si>
  <si>
    <t>工作台使用状态，点击刷新按钮可以看到工作台中被占用了哪些列，点击单元格可以解除占用。</t>
  </si>
  <si>
    <t>工作台权限设置可以看到本公司可以对工作台的哪些列进行编辑。</t>
  </si>
  <si>
    <t>在页面中修改单元格可以直接保存到数据库中。</t>
  </si>
  <si>
    <t>点击刷新按钮可以更新数据。</t>
  </si>
  <si>
    <t>公司数据分析和人员数据分析可以根据工作台的使用情况生成对应的图表，也可以点击查询按钮，根据条件生成</t>
  </si>
  <si>
    <t>图表。</t>
  </si>
  <si>
    <t>工作台点击刷新按钮可以查询到全部数据。</t>
  </si>
  <si>
    <t>点击新增按钮可以添加一条空白数据，录入日期和最后修改日期会自动生成。</t>
  </si>
  <si>
    <t>在页面上编辑后会自动保存到数据库中。</t>
  </si>
  <si>
    <t>如果有列被占用会提示无法编辑。</t>
  </si>
  <si>
    <t>广州安振企业管理有限公司</t>
  </si>
  <si>
    <t>管理员</t>
  </si>
  <si>
    <t>yhltd</t>
  </si>
  <si>
    <t>人事部</t>
  </si>
  <si>
    <t>20220420060442</t>
  </si>
  <si>
    <t>工作台</t>
  </si>
  <si>
    <t>是</t>
  </si>
  <si>
    <t>工作台权限设置</t>
  </si>
  <si>
    <t>部门权限设置</t>
  </si>
  <si>
    <t>公司数据分析</t>
  </si>
  <si>
    <t>人员权限设置</t>
  </si>
  <si>
    <t>人员数据分析</t>
  </si>
  <si>
    <t>工作台使用状态</t>
  </si>
  <si>
    <t>工作台公式设置</t>
  </si>
  <si>
    <t>否</t>
  </si>
  <si>
    <t>▌ 人员管理</t>
  </si>
  <si>
    <t>序号</t>
  </si>
  <si>
    <t>姓名</t>
  </si>
  <si>
    <t>账号</t>
  </si>
  <si>
    <t>密码</t>
  </si>
  <si>
    <t>部门</t>
  </si>
  <si>
    <t>账号状态</t>
  </si>
  <si>
    <t>邮箱</t>
  </si>
  <si>
    <t>手机号码</t>
  </si>
  <si>
    <t>员工编号</t>
  </si>
  <si>
    <t>正常</t>
  </si>
  <si>
    <t>457853@163.com</t>
  </si>
  <si>
    <t>张三</t>
  </si>
  <si>
    <t>zhangsan</t>
  </si>
  <si>
    <t>锁死</t>
  </si>
  <si>
    <t>12123@163.com</t>
  </si>
  <si>
    <t>202209081707106</t>
  </si>
  <si>
    <t>李四</t>
  </si>
  <si>
    <t>lisi</t>
  </si>
  <si>
    <t>财务部</t>
  </si>
  <si>
    <t>123@163.com</t>
  </si>
  <si>
    <t>202209081828117</t>
  </si>
  <si>
    <t>王麻子</t>
  </si>
  <si>
    <t>202211101830458</t>
  </si>
  <si>
    <t>▌ 人员权限设置</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</si>
  <si>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</si>
  <si>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</si>
  <si>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</si>
  <si>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</si>
  <si>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</si>
  <si>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</si>
  <si>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</si>
  <si>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</si>
  <si>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</si>
  <si>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</si>
  <si>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</si>
  <si>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</si>
  <si>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</si>
  <si>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</si>
  <si>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</si>
  <si>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</si>
  <si>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</si>
  <si>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</si>
  <si>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</si>
  <si>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</si>
  <si>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</si>
  <si>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</si>
  <si>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</si>
  <si>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</si>
  <si>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</si>
  <si>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</si>
  <si>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</si>
  <si>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</si>
  <si>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</si>
  <si>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</si>
  <si>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</si>
  <si>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</si>
  <si>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</si>
  <si>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</si>
  <si>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</si>
  <si>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</si>
  <si>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</si>
  <si>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</si>
  <si>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</si>
  <si>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</si>
  <si>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</si>
  <si>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</si>
  <si>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</si>
  <si>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</si>
  <si>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</si>
  <si>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</si>
  <si>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</si>
  <si>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</si>
  <si>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</si>
  <si>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</si>
  <si>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</si>
  <si>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</si>
  <si>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</si>
  <si>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</si>
  <si>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</si>
  <si>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</si>
  <si>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</si>
  <si>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</si>
  <si>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</si>
  <si>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</si>
  <si>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</si>
  <si>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</si>
  <si>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</si>
  <si>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</si>
  <si>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</si>
  <si>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</si>
  <si>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</si>
  <si>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</si>
  <si>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</si>
  <si>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</si>
  <si>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</si>
  <si>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</si>
  <si>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</si>
  <si>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</si>
  <si>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</si>
  <si>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</si>
  <si>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</si>
  <si>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</si>
  <si>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</si>
  <si>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</si>
  <si>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</si>
  <si>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</si>
  <si>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</si>
  <si>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</si>
  <si>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</si>
  <si>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</si>
  <si>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</si>
  <si>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</si>
  <si>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</si>
  <si>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</si>
  <si>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</si>
  <si>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</si>
  <si>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</si>
  <si>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</si>
  <si>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</si>
  <si>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</si>
  <si>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</si>
  <si>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</si>
  <si>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</si>
  <si>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权限</t>
  </si>
  <si>
    <t>√</t>
  </si>
  <si>
    <t xml:space="preserve"> </t>
  </si>
  <si>
    <t>修改</t>
  </si>
  <si>
    <t>▌ 部门权限设置</t>
  </si>
  <si>
    <t>页面名称</t>
  </si>
  <si>
    <t>增</t>
  </si>
  <si>
    <t>删</t>
  </si>
  <si>
    <t>改</t>
  </si>
  <si>
    <t>查</t>
  </si>
  <si>
    <t>测试部门</t>
  </si>
  <si>
    <t>▌ 工作台使用状态</t>
  </si>
  <si>
    <t>公司</t>
  </si>
  <si>
    <t>▌ 工作台权限设置</t>
  </si>
  <si>
    <t>▌ 公司数据分析</t>
  </si>
  <si>
    <t>▌ 人员数据分析</t>
  </si>
  <si>
    <t>▌ 工作台公式设置</t>
  </si>
  <si>
    <t>列</t>
  </si>
  <si>
    <t>公式</t>
  </si>
  <si>
    <t>A*C</t>
  </si>
  <si>
    <t>C*D</t>
  </si>
  <si>
    <t>E*2</t>
  </si>
  <si>
    <t>▌ 工作台</t>
  </si>
  <si>
    <t>人员</t>
  </si>
  <si>
    <t>添加日期</t>
  </si>
  <si>
    <t>最后修改日期</t>
  </si>
  <si>
    <t>username</t>
  </si>
  <si>
    <t>qqqqqqqq</t>
  </si>
  <si>
    <t>qqq</t>
  </si>
  <si>
    <t>ae</t>
  </si>
  <si>
    <t>ddxw</t>
  </si>
  <si>
    <t>bbbb</t>
  </si>
  <si>
    <t>测试CV</t>
  </si>
  <si>
    <t xml:space="preserve"> hehehh</t>
  </si>
  <si>
    <t>任务完成</t>
  </si>
  <si>
    <t>问题</t>
  </si>
  <si>
    <t>问题无</t>
  </si>
  <si>
    <t>dd</t>
  </si>
  <si>
    <t>gg</t>
  </si>
  <si>
    <t>哈哈哈</t>
  </si>
  <si>
    <t>a</t>
  </si>
  <si>
    <t>asd</t>
  </si>
  <si>
    <t>irir</t>
  </si>
  <si>
    <t>监控室3</t>
  </si>
  <si>
    <t>订单</t>
  </si>
  <si>
    <t>水电费</t>
  </si>
  <si>
    <t>ggh</t>
  </si>
  <si>
    <t>监控室366</t>
  </si>
  <si>
    <t>测试数据1</t>
  </si>
  <si>
    <t>啊啊啊</t>
  </si>
  <si>
    <t>监控室8996</t>
  </si>
  <si>
    <t>监控室8665</t>
  </si>
  <si>
    <t>工作量8小时</t>
  </si>
  <si>
    <t>用料50桶</t>
  </si>
  <si>
    <t>q</t>
  </si>
  <si>
    <t>ceshi</t>
  </si>
  <si>
    <t>e</t>
  </si>
  <si>
    <t>d</t>
  </si>
  <si>
    <t>fgh</t>
  </si>
  <si>
    <t>c</t>
  </si>
  <si>
    <t>『』</t>
  </si>
  <si>
    <t>??</t>
  </si>
  <si>
    <t>b</t>
  </si>
  <si>
    <t>Sdf</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</si>
</sst>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39">
    <font>
      <sz val="12"/>
      <name val="宋体"/>
      <charset val="134"/>
    </font>
    <font>
      <sz val="12"/>
      <name val="微软雅黑"/>
      <charset val="134"/>
    </font>
    <font>
      <sz val="10"/>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s>
  <fills count="41">
    <fill>
      <patternFill patternType="none"/>
    </fill>
    <fill>
      <patternFill patternType="gray125"/>
    </fill>
    <fill>
      <patternFill patternType="solid">
        <fgColor theme="0" tint="-0.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6" fillId="0" borderId="0" applyFont="0" applyFill="0" applyBorder="0" applyAlignment="0" applyProtection="0">
      <alignment vertical="center"/>
    </xf>
    <xf numFmtId="0" fontId="19" fillId="10" borderId="0" applyNumberFormat="0" applyBorder="0" applyAlignment="0" applyProtection="0">
      <alignment vertical="center"/>
    </xf>
    <xf numFmtId="0" fontId="20" fillId="11" borderId="1"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19" fillId="12" borderId="0" applyNumberFormat="0" applyBorder="0" applyAlignment="0" applyProtection="0">
      <alignment vertical="center"/>
    </xf>
    <xf numFmtId="0" fontId="21" fillId="13" borderId="0" applyNumberFormat="0" applyBorder="0" applyAlignment="0" applyProtection="0">
      <alignment vertical="center"/>
    </xf>
    <xf numFmtId="43" fontId="6" fillId="0" borderId="0" applyFont="0" applyFill="0" applyBorder="0" applyAlignment="0" applyProtection="0">
      <alignment vertical="center"/>
    </xf>
    <xf numFmtId="0" fontId="22" fillId="14" borderId="0" applyNumberFormat="0" applyBorder="0" applyAlignment="0" applyProtection="0">
      <alignment vertical="center"/>
    </xf>
    <xf numFmtId="0" fontId="23" fillId="0" borderId="0" applyNumberFormat="0" applyFill="0" applyBorder="0" applyAlignment="0" applyProtection="0">
      <alignment vertical="center"/>
    </xf>
    <xf numFmtId="9" fontId="6" fillId="0" borderId="0" applyFont="0" applyFill="0" applyBorder="0" applyAlignment="0" applyProtection="0">
      <alignment vertical="center"/>
    </xf>
    <xf numFmtId="0" fontId="24" fillId="0" borderId="0" applyNumberFormat="0" applyFill="0" applyBorder="0" applyAlignment="0" applyProtection="0">
      <alignment vertical="center"/>
    </xf>
    <xf numFmtId="0" fontId="6" fillId="15" borderId="2" applyNumberFormat="0" applyFont="0" applyAlignment="0" applyProtection="0">
      <alignment vertical="center"/>
    </xf>
    <xf numFmtId="0" fontId="22" fillId="16"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3" applyNumberFormat="0" applyFill="0" applyAlignment="0" applyProtection="0">
      <alignment vertical="center"/>
    </xf>
    <xf numFmtId="0" fontId="30" fillId="0" borderId="3" applyNumberFormat="0" applyFill="0" applyAlignment="0" applyProtection="0">
      <alignment vertical="center"/>
    </xf>
    <xf numFmtId="0" fontId="22" fillId="17" borderId="0" applyNumberFormat="0" applyBorder="0" applyAlignment="0" applyProtection="0">
      <alignment vertical="center"/>
    </xf>
    <xf numFmtId="0" fontId="25" fillId="0" borderId="4" applyNumberFormat="0" applyFill="0" applyAlignment="0" applyProtection="0">
      <alignment vertical="center"/>
    </xf>
    <xf numFmtId="0" fontId="22" fillId="18" borderId="0" applyNumberFormat="0" applyBorder="0" applyAlignment="0" applyProtection="0">
      <alignment vertical="center"/>
    </xf>
    <xf numFmtId="0" fontId="31" fillId="19" borderId="5" applyNumberFormat="0" applyAlignment="0" applyProtection="0">
      <alignment vertical="center"/>
    </xf>
    <xf numFmtId="0" fontId="32" fillId="19" borderId="1" applyNumberFormat="0" applyAlignment="0" applyProtection="0">
      <alignment vertical="center"/>
    </xf>
    <xf numFmtId="0" fontId="33" fillId="20" borderId="6" applyNumberFormat="0" applyAlignment="0" applyProtection="0">
      <alignment vertical="center"/>
    </xf>
    <xf numFmtId="0" fontId="19" fillId="21" borderId="0" applyNumberFormat="0" applyBorder="0" applyAlignment="0" applyProtection="0">
      <alignment vertical="center"/>
    </xf>
    <xf numFmtId="0" fontId="22" fillId="22" borderId="0" applyNumberFormat="0" applyBorder="0" applyAlignment="0" applyProtection="0">
      <alignment vertical="center"/>
    </xf>
    <xf numFmtId="0" fontId="34" fillId="0" borderId="7" applyNumberFormat="0" applyFill="0" applyAlignment="0" applyProtection="0">
      <alignment vertical="center"/>
    </xf>
    <xf numFmtId="0" fontId="35" fillId="0" borderId="8" applyNumberFormat="0" applyFill="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19" fillId="25" borderId="0" applyNumberFormat="0" applyBorder="0" applyAlignment="0" applyProtection="0">
      <alignment vertical="center"/>
    </xf>
    <xf numFmtId="0" fontId="22" fillId="26" borderId="0" applyNumberFormat="0" applyBorder="0" applyAlignment="0" applyProtection="0">
      <alignment vertical="center"/>
    </xf>
    <xf numFmtId="0" fontId="19"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19" fillId="30" borderId="0" applyNumberFormat="0" applyBorder="0" applyAlignment="0" applyProtection="0">
      <alignment vertical="center"/>
    </xf>
    <xf numFmtId="0" fontId="22" fillId="31" borderId="0" applyNumberFormat="0" applyBorder="0" applyAlignment="0" applyProtection="0">
      <alignment vertical="center"/>
    </xf>
    <xf numFmtId="0" fontId="22" fillId="32" borderId="0" applyNumberFormat="0" applyBorder="0" applyAlignment="0" applyProtection="0">
      <alignment vertical="center"/>
    </xf>
    <xf numFmtId="0" fontId="19" fillId="33" borderId="0" applyNumberFormat="0" applyBorder="0" applyAlignment="0" applyProtection="0">
      <alignment vertical="center"/>
    </xf>
    <xf numFmtId="0" fontId="19" fillId="34" borderId="0" applyNumberFormat="0" applyBorder="0" applyAlignment="0" applyProtection="0">
      <alignment vertical="center"/>
    </xf>
    <xf numFmtId="0" fontId="22" fillId="35" borderId="0" applyNumberFormat="0" applyBorder="0" applyAlignment="0" applyProtection="0">
      <alignment vertical="center"/>
    </xf>
    <xf numFmtId="0" fontId="19" fillId="36" borderId="0" applyNumberFormat="0" applyBorder="0" applyAlignment="0" applyProtection="0">
      <alignment vertical="center"/>
    </xf>
    <xf numFmtId="0" fontId="22" fillId="37" borderId="0" applyNumberFormat="0" applyBorder="0" applyAlignment="0" applyProtection="0">
      <alignment vertical="center"/>
    </xf>
    <xf numFmtId="0" fontId="22" fillId="38" borderId="0" applyNumberFormat="0" applyBorder="0" applyAlignment="0" applyProtection="0">
      <alignment vertical="center"/>
    </xf>
    <xf numFmtId="0" fontId="19" fillId="39" borderId="0" applyNumberFormat="0" applyBorder="0" applyAlignment="0" applyProtection="0">
      <alignment vertical="center"/>
    </xf>
    <xf numFmtId="0" fontId="22" fillId="40" borderId="0" applyNumberFormat="0" applyBorder="0" applyAlignment="0" applyProtection="0">
      <alignment vertical="center"/>
    </xf>
  </cellStyleXfs>
  <cellXfs count="40">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3" fillId="0" borderId="0" xfId="0" applyFont="1" applyAlignment="1">
      <alignment vertical="center"/>
    </xf>
    <xf numFmtId="0" fontId="4" fillId="3" borderId="0" xfId="0" applyFont="1" applyFill="1" applyAlignment="1">
      <alignment horizontal="center" vertical="center"/>
    </xf>
    <xf numFmtId="14" fontId="2" fillId="2" borderId="0" xfId="0" applyNumberFormat="1" applyFont="1" applyFill="1" applyAlignment="1">
      <alignment horizontal="center" vertical="center"/>
    </xf>
    <xf numFmtId="0" fontId="0" fillId="0" borderId="0" xfId="0" applyAlignment="1">
      <alignment horizontal="center" vertical="center"/>
    </xf>
    <xf numFmtId="0" fontId="0" fillId="2" borderId="0" xfId="0" applyFill="1" applyAlignment="1">
      <alignment horizontal="center" vertical="center"/>
    </xf>
    <xf numFmtId="49" fontId="2" fillId="0" borderId="0" xfId="0" applyNumberFormat="1" applyFont="1" applyAlignment="1">
      <alignment horizontal="center" vertical="center"/>
    </xf>
    <xf numFmtId="49" fontId="1" fillId="0" borderId="0" xfId="0" applyNumberFormat="1" applyFont="1" applyAlignment="1">
      <alignment horizontal="center" vertical="center"/>
    </xf>
    <xf numFmtId="14" fontId="0" fillId="0" borderId="0" xfId="0" applyNumberFormat="1">
      <alignment vertical="center"/>
    </xf>
    <xf numFmtId="49" fontId="0" fillId="0" borderId="0" xfId="0" applyNumberFormat="1">
      <alignment vertical="center"/>
    </xf>
    <xf numFmtId="0" fontId="5" fillId="4" borderId="0" xfId="0" applyFont="1" applyFill="1" applyAlignment="1" applyProtection="1">
      <alignment horizontal="left" vertical="center"/>
    </xf>
    <xf numFmtId="0" fontId="6" fillId="5" borderId="0" xfId="0" applyFont="1" applyFill="1" applyAlignment="1" applyProtection="1">
      <alignment vertical="center"/>
    </xf>
    <xf numFmtId="0" fontId="7" fillId="5" borderId="0" xfId="0" applyFont="1" applyFill="1" applyAlignment="1" applyProtection="1">
      <alignment horizontal="left" vertical="center"/>
    </xf>
    <xf numFmtId="0" fontId="7" fillId="6" borderId="0" xfId="0" applyFont="1" applyFill="1" applyAlignment="1" applyProtection="1">
      <alignment horizontal="left" vertical="center"/>
    </xf>
    <xf numFmtId="49" fontId="8" fillId="6" borderId="0" xfId="0" applyNumberFormat="1" applyFont="1" applyFill="1" applyAlignment="1" applyProtection="1">
      <alignment horizontal="right" vertical="center"/>
    </xf>
    <xf numFmtId="0" fontId="9" fillId="6" borderId="0" xfId="0" applyFont="1" applyFill="1" applyAlignment="1" applyProtection="1">
      <alignment horizontal="left" vertical="center"/>
    </xf>
    <xf numFmtId="0" fontId="2" fillId="4" borderId="0" xfId="0" applyFont="1" applyFill="1" applyAlignment="1" applyProtection="1">
      <alignment horizontal="center" vertical="center"/>
    </xf>
    <xf numFmtId="49" fontId="10" fillId="4" borderId="0" xfId="0" applyNumberFormat="1" applyFont="1" applyFill="1" applyAlignment="1" applyProtection="1">
      <alignment horizontal="left" vertical="center"/>
    </xf>
    <xf numFmtId="49" fontId="11" fillId="5" borderId="0" xfId="0" applyNumberFormat="1" applyFont="1" applyFill="1" applyAlignment="1" applyProtection="1">
      <alignment horizontal="right" vertical="center"/>
    </xf>
    <xf numFmtId="49" fontId="11" fillId="6" borderId="0" xfId="0" applyNumberFormat="1" applyFont="1" applyFill="1" applyAlignment="1" applyProtection="1">
      <alignment horizontal="center" vertical="center"/>
    </xf>
    <xf numFmtId="49" fontId="12" fillId="7" borderId="0" xfId="0" applyNumberFormat="1" applyFont="1" applyFill="1" applyAlignment="1" applyProtection="1">
      <alignment horizontal="center" vertical="center" wrapText="1"/>
    </xf>
    <xf numFmtId="0" fontId="13" fillId="7" borderId="0" xfId="0" applyFont="1" applyFill="1" applyAlignment="1" applyProtection="1">
      <alignment horizontal="center" vertical="center" wrapText="1"/>
    </xf>
    <xf numFmtId="176" fontId="14" fillId="7" borderId="0" xfId="0" applyNumberFormat="1" applyFont="1" applyFill="1" applyAlignment="1" applyProtection="1">
      <alignment horizontal="right" vertical="center" indent="1"/>
    </xf>
    <xf numFmtId="0" fontId="15" fillId="7" borderId="0" xfId="0" applyFont="1" applyFill="1" applyAlignment="1" applyProtection="1">
      <alignment horizontal="center" vertical="center" wrapText="1"/>
    </xf>
    <xf numFmtId="49" fontId="13" fillId="7" borderId="0" xfId="0" applyNumberFormat="1" applyFont="1" applyFill="1" applyAlignment="1" applyProtection="1">
      <alignment horizontal="center" vertical="center" wrapText="1"/>
    </xf>
    <xf numFmtId="0" fontId="15" fillId="7" borderId="0" xfId="0" applyFont="1" applyFill="1" applyAlignment="1" applyProtection="1">
      <alignment vertical="center" wrapText="1"/>
    </xf>
    <xf numFmtId="49" fontId="8"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9" fillId="8" borderId="0" xfId="0" applyFont="1" applyFill="1" applyAlignment="1" applyProtection="1">
      <alignment horizontal="left" vertical="center"/>
    </xf>
    <xf numFmtId="49" fontId="5" fillId="4" borderId="0" xfId="0" applyNumberFormat="1" applyFont="1" applyFill="1" applyAlignment="1" applyProtection="1">
      <alignment horizontal="left" vertical="center"/>
    </xf>
    <xf numFmtId="0" fontId="1" fillId="9" borderId="0" xfId="0" applyFont="1" applyFill="1" applyAlignment="1">
      <alignment vertical="center"/>
    </xf>
    <xf numFmtId="0" fontId="16" fillId="9" borderId="0" xfId="0" applyFont="1" applyFill="1" applyAlignment="1">
      <alignment vertical="center"/>
    </xf>
    <xf numFmtId="0" fontId="17" fillId="9" borderId="0" xfId="0" applyFont="1" applyFill="1" applyAlignment="1">
      <alignment vertical="center"/>
    </xf>
    <xf numFmtId="0" fontId="17" fillId="9" borderId="0" xfId="0" applyFont="1" applyFill="1" applyBorder="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公司数据分析!$C$4:$CX$4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公司数据分析!$C$5:$CX$5</c:f>
              <c:numCache>
                <c:formatCode>General</c:formatCode>
                <c:ptCount val="100"/>
                <c:pt idx="0">
                  <c:v>29</c:v>
                </c:pt>
                <c:pt idx="1">
                  <c:v>54</c:v>
                </c:pt>
                <c:pt idx="2">
                  <c:v>43</c:v>
                </c:pt>
                <c:pt idx="3">
                  <c:v>25</c:v>
                </c:pt>
                <c:pt idx="4">
                  <c:v>23</c:v>
                </c:pt>
                <c:pt idx="5">
                  <c:v>17</c:v>
                </c:pt>
                <c:pt idx="6">
                  <c:v>10</c:v>
                </c:pt>
                <c:pt idx="7">
                  <c:v>7</c:v>
                </c:pt>
                <c:pt idx="8">
                  <c:v>3</c:v>
                </c:pt>
                <c:pt idx="9">
                  <c:v>1</c:v>
                </c:pt>
                <c:pt idx="10">
                  <c:v>3</c:v>
                </c:pt>
                <c:pt idx="11">
                  <c:v>0</c:v>
                </c:pt>
                <c:pt idx="12">
                  <c:v>0</c:v>
                </c:pt>
                <c:pt idx="13">
                  <c:v>1</c:v>
                </c:pt>
                <c:pt idx="14">
                  <c:v>0</c:v>
                </c:pt>
                <c:pt idx="15">
                  <c:v>1</c:v>
                </c:pt>
                <c:pt idx="16">
                  <c:v>0</c:v>
                </c:pt>
                <c:pt idx="17">
                  <c:v>0</c:v>
                </c:pt>
                <c:pt idx="18">
                  <c:v>0</c:v>
                </c:pt>
                <c:pt idx="19">
                  <c:v>0</c:v>
                </c:pt>
                <c:pt idx="20">
                  <c:v>1</c:v>
                </c:pt>
                <c:pt idx="21">
                  <c:v>0</c:v>
                </c:pt>
                <c:pt idx="22">
                  <c:v>0</c:v>
                </c:pt>
                <c:pt idx="23">
                  <c:v>0</c:v>
                </c:pt>
                <c:pt idx="24">
                  <c:v>0</c:v>
                </c:pt>
                <c:pt idx="25">
                  <c:v>0</c:v>
                </c:pt>
                <c:pt idx="26">
                  <c:v>0</c:v>
                </c:pt>
                <c:pt idx="27">
                  <c:v>0</c:v>
                </c:pt>
                <c:pt idx="28">
                  <c:v>2</c:v>
                </c:pt>
                <c:pt idx="29">
                  <c:v>1</c:v>
                </c:pt>
                <c:pt idx="30">
                  <c:v>0</c:v>
                </c:pt>
                <c:pt idx="31">
                  <c:v>0</c:v>
                </c:pt>
                <c:pt idx="32">
                  <c:v>0</c:v>
                </c:pt>
                <c:pt idx="33">
                  <c:v>0</c:v>
                </c:pt>
                <c:pt idx="34">
                  <c:v>0</c:v>
                </c:pt>
                <c:pt idx="35">
                  <c:v>0</c:v>
                </c:pt>
                <c:pt idx="36">
                  <c:v>1</c:v>
                </c:pt>
                <c:pt idx="37">
                  <c:v>0</c:v>
                </c:pt>
                <c:pt idx="38">
                  <c:v>0</c:v>
                </c:pt>
                <c:pt idx="39">
                  <c:v>0</c:v>
                </c:pt>
                <c:pt idx="40">
                  <c:v>0</c:v>
                </c:pt>
                <c:pt idx="41">
                  <c:v>0</c:v>
                </c:pt>
                <c:pt idx="42">
                  <c:v>0</c:v>
                </c:pt>
                <c:pt idx="43">
                  <c:v>0</c:v>
                </c:pt>
                <c:pt idx="44">
                  <c:v>1</c:v>
                </c:pt>
                <c:pt idx="45">
                  <c:v>0</c:v>
                </c:pt>
                <c:pt idx="46">
                  <c:v>0</c:v>
                </c:pt>
                <c:pt idx="47">
                  <c:v>0</c:v>
                </c:pt>
                <c:pt idx="48">
                  <c:v>0</c:v>
                </c:pt>
                <c:pt idx="49">
                  <c:v>0</c:v>
                </c:pt>
                <c:pt idx="50">
                  <c:v>0</c:v>
                </c:pt>
                <c:pt idx="51">
                  <c:v>0</c:v>
                </c:pt>
                <c:pt idx="52">
                  <c:v>0</c:v>
                </c:pt>
                <c:pt idx="53">
                  <c:v>1</c:v>
                </c:pt>
                <c:pt idx="54">
                  <c:v>0</c:v>
                </c:pt>
                <c:pt idx="55">
                  <c:v>0</c:v>
                </c:pt>
                <c:pt idx="56">
                  <c:v>0</c:v>
                </c:pt>
                <c:pt idx="57">
                  <c:v>0</c:v>
                </c:pt>
                <c:pt idx="58">
                  <c:v>0</c:v>
                </c:pt>
                <c:pt idx="59">
                  <c:v>0</c:v>
                </c:pt>
                <c:pt idx="60">
                  <c:v>0</c:v>
                </c:pt>
                <c:pt idx="61">
                  <c:v>3</c:v>
                </c:pt>
                <c:pt idx="62">
                  <c:v>0</c:v>
                </c:pt>
                <c:pt idx="63">
                  <c:v>0</c:v>
                </c:pt>
                <c:pt idx="64">
                  <c:v>0</c:v>
                </c:pt>
                <c:pt idx="65">
                  <c:v>0</c:v>
                </c:pt>
                <c:pt idx="66">
                  <c:v>0</c:v>
                </c:pt>
                <c:pt idx="67">
                  <c:v>0</c:v>
                </c:pt>
                <c:pt idx="68">
                  <c:v>0</c:v>
                </c:pt>
                <c:pt idx="69">
                  <c:v>0</c:v>
                </c:pt>
                <c:pt idx="70">
                  <c:v>0</c:v>
                </c:pt>
                <c:pt idx="71">
                  <c:v>0</c:v>
                </c:pt>
                <c:pt idx="72">
                  <c:v>0</c:v>
                </c:pt>
                <c:pt idx="73">
                  <c:v>0</c:v>
                </c:pt>
                <c:pt idx="74">
                  <c:v>1</c:v>
                </c:pt>
                <c:pt idx="75">
                  <c:v>0</c:v>
                </c:pt>
                <c:pt idx="76">
                  <c:v>0</c:v>
                </c:pt>
                <c:pt idx="77">
                  <c:v>0</c:v>
                </c:pt>
                <c:pt idx="78">
                  <c:v>2</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1</c:v>
                </c:pt>
                <c:pt idx="96">
                  <c:v>0</c:v>
                </c:pt>
                <c:pt idx="97">
                  <c:v>0</c:v>
                </c:pt>
                <c:pt idx="98">
                  <c:v>33</c:v>
                </c:pt>
                <c:pt idx="99">
                  <c:v>12</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人员数据分析!$C$4:$CX$4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人员数据分析!$C$5:$CX$5</c:f>
              <c:numCache>
                <c:formatCode>General</c:formatCode>
                <c:ptCount val="100"/>
                <c:pt idx="0">
                  <c:v>24</c:v>
                </c:pt>
                <c:pt idx="1">
                  <c:v>42</c:v>
                </c:pt>
                <c:pt idx="2">
                  <c:v>34</c:v>
                </c:pt>
                <c:pt idx="3">
                  <c:v>17</c:v>
                </c:pt>
                <c:pt idx="4">
                  <c:v>17</c:v>
                </c:pt>
                <c:pt idx="5">
                  <c:v>13</c:v>
                </c:pt>
                <c:pt idx="6">
                  <c:v>7</c:v>
                </c:pt>
                <c:pt idx="7">
                  <c:v>5</c:v>
                </c:pt>
                <c:pt idx="8">
                  <c:v>1</c:v>
                </c:pt>
                <c:pt idx="9">
                  <c:v>0</c:v>
                </c:pt>
                <c:pt idx="10">
                  <c:v>1</c:v>
                </c:pt>
                <c:pt idx="11">
                  <c:v>0</c:v>
                </c:pt>
                <c:pt idx="12">
                  <c:v>0</c:v>
                </c:pt>
                <c:pt idx="13">
                  <c:v>1</c:v>
                </c:pt>
                <c:pt idx="14">
                  <c:v>0</c:v>
                </c:pt>
                <c:pt idx="15">
                  <c:v>1</c:v>
                </c:pt>
                <c:pt idx="16">
                  <c:v>0</c:v>
                </c:pt>
                <c:pt idx="17">
                  <c:v>0</c:v>
                </c:pt>
                <c:pt idx="18">
                  <c:v>0</c:v>
                </c:pt>
                <c:pt idx="19">
                  <c:v>0</c:v>
                </c:pt>
                <c:pt idx="20">
                  <c:v>0</c:v>
                </c:pt>
                <c:pt idx="21">
                  <c:v>0</c:v>
                </c:pt>
                <c:pt idx="22">
                  <c:v>0</c:v>
                </c:pt>
                <c:pt idx="23">
                  <c:v>0</c:v>
                </c:pt>
                <c:pt idx="24">
                  <c:v>0</c:v>
                </c:pt>
                <c:pt idx="25">
                  <c:v>0</c:v>
                </c:pt>
                <c:pt idx="26">
                  <c:v>0</c:v>
                </c:pt>
                <c:pt idx="27">
                  <c:v>0</c:v>
                </c:pt>
                <c:pt idx="28">
                  <c:v>1</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3</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1</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28</c:v>
                </c:pt>
                <c:pt idx="99">
                  <c:v>11</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4037;&#20316;&#21488;&#20351;&#29992;&#29366;&#24577;!A1"/><Relationship Id="rId8" Type="http://schemas.openxmlformats.org/officeDocument/2006/relationships/hyperlink" Target="#&#37096;&#38376;&#26435;&#38480;&#35774;&#32622;!A1"/><Relationship Id="rId7" Type="http://schemas.openxmlformats.org/officeDocument/2006/relationships/hyperlink" Target="#&#20154;&#21592;&#26435;&#38480;&#35774;&#32622;!A1"/><Relationship Id="rId6" Type="http://schemas.openxmlformats.org/officeDocument/2006/relationships/hyperlink" Target="#&#20154;&#21592;&#31649;&#29702;!A1"/><Relationship Id="rId5" Type="http://schemas.openxmlformats.org/officeDocument/2006/relationships/hyperlink" Target="#&#35828;&#26126;&#20070;!A1"/><Relationship Id="rId4" Type="http://schemas.openxmlformats.org/officeDocument/2006/relationships/hyperlink" Target="#&#20844;&#21496;&#25968;&#25454;&#20998;&#26512;!A1"/><Relationship Id="rId3" Type="http://schemas.openxmlformats.org/officeDocument/2006/relationships/hyperlink" Target="#&#24037;&#20316;&#21488;&#26435;&#38480;&#35774;&#32622;!A1"/><Relationship Id="rId2" Type="http://schemas.openxmlformats.org/officeDocument/2006/relationships/hyperlink" Target="#&#24037;&#20316;&#21488;!A1"/><Relationship Id="rId10" Type="http://schemas.openxmlformats.org/officeDocument/2006/relationships/hyperlink" Target="#&#24037;&#20316;&#21488;&#20844;&#24335;&#35774;&#32622;!A1"/><Relationship Id="rId1" Type="http://schemas.openxmlformats.org/officeDocument/2006/relationships/hyperlink" Target="#&#20154;&#21592;&#25968;&#25454;&#20998;&#26512;!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635</xdr:colOff>
      <xdr:row>0</xdr:row>
      <xdr:rowOff>635</xdr:rowOff>
    </xdr:from>
    <xdr:to>
      <xdr:col>43</xdr:col>
      <xdr:colOff>36830</xdr:colOff>
      <xdr:row>23</xdr:row>
      <xdr:rowOff>201295</xdr:rowOff>
    </xdr:to>
    <xdr:grpSp>
      <xdr:nvGrpSpPr>
        <xdr:cNvPr id="2" name="组合 1"/>
        <xdr:cNvGrpSpPr/>
      </xdr:nvGrpSpPr>
      <xdr:grpSpPr>
        <a:xfrm>
          <a:off x="635" y="635"/>
          <a:ext cx="11913870" cy="5195570"/>
          <a:chOff x="-7" y="-14"/>
          <a:chExt cx="17602"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37" y="-13"/>
            <a:ext cx="338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分权编辑系统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239395</xdr:colOff>
      <xdr:row>9</xdr:row>
      <xdr:rowOff>103505</xdr:rowOff>
    </xdr:from>
    <xdr:to>
      <xdr:col>40</xdr:col>
      <xdr:colOff>59690</xdr:colOff>
      <xdr:row>14</xdr:row>
      <xdr:rowOff>35560</xdr:rowOff>
    </xdr:to>
    <xdr:grpSp>
      <xdr:nvGrpSpPr>
        <xdr:cNvPr id="26" name="组合 25"/>
        <xdr:cNvGrpSpPr/>
      </xdr:nvGrpSpPr>
      <xdr:grpSpPr>
        <a:xfrm rot="0">
          <a:off x="3554095" y="2058035"/>
          <a:ext cx="7554595" cy="101790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人员数据分析</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工作台权限设置</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公司数据分析</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239395</xdr:colOff>
      <xdr:row>3</xdr:row>
      <xdr:rowOff>114300</xdr:rowOff>
    </xdr:from>
    <xdr:to>
      <xdr:col>40</xdr:col>
      <xdr:colOff>59690</xdr:colOff>
      <xdr:row>8</xdr:row>
      <xdr:rowOff>9525</xdr:rowOff>
    </xdr:to>
    <xdr:grpSp>
      <xdr:nvGrpSpPr>
        <xdr:cNvPr id="32" name="组合 31"/>
        <xdr:cNvGrpSpPr/>
      </xdr:nvGrpSpPr>
      <xdr:grpSpPr>
        <a:xfrm>
          <a:off x="3554095" y="765810"/>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人员管理</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人员权限设置</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部门权限设置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工作台使用状态</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239395</xdr:colOff>
      <xdr:row>15</xdr:row>
      <xdr:rowOff>121920</xdr:rowOff>
    </xdr:from>
    <xdr:to>
      <xdr:col>18</xdr:col>
      <xdr:colOff>211455</xdr:colOff>
      <xdr:row>20</xdr:row>
      <xdr:rowOff>53975</xdr:rowOff>
    </xdr:to>
    <xdr:sp>
      <xdr:nvSpPr>
        <xdr:cNvPr id="3" name="圆角矩形 16">
          <a:hlinkClick xmlns:r="http://schemas.openxmlformats.org/officeDocument/2006/relationships" r:id="rId10"/>
        </xdr:cNvPr>
        <xdr:cNvSpPr/>
      </xdr:nvSpPr>
      <xdr:spPr>
        <a:xfrm>
          <a:off x="3554095" y="3379470"/>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工作台公式设置</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3</xdr:col>
      <xdr:colOff>609600</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1905</xdr:rowOff>
    </xdr:from>
    <xdr:to>
      <xdr:col>4</xdr:col>
      <xdr:colOff>859790</xdr:colOff>
      <xdr:row>0</xdr:row>
      <xdr:rowOff>430530</xdr:rowOff>
    </xdr:to>
    <xdr:sp macro="[0]!select04">
      <xdr:nvSpPr>
        <xdr:cNvPr id="3" name="圆角矩形 2"/>
        <xdr:cNvSpPr/>
      </xdr:nvSpPr>
      <xdr:spPr>
        <a:xfrm>
          <a:off x="1817370" y="190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48260</xdr:colOff>
      <xdr:row>0</xdr:row>
      <xdr:rowOff>635</xdr:rowOff>
    </xdr:from>
    <xdr:to>
      <xdr:col>5</xdr:col>
      <xdr:colOff>1113790</xdr:colOff>
      <xdr:row>0</xdr:row>
      <xdr:rowOff>429260</xdr:rowOff>
    </xdr:to>
    <xdr:sp macro="[0]!save04">
      <xdr:nvSpPr>
        <xdr:cNvPr id="4" name="圆角矩形 3"/>
        <xdr:cNvSpPr/>
      </xdr:nvSpPr>
      <xdr:spPr>
        <a:xfrm>
          <a:off x="3343910" y="635"/>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302260</xdr:colOff>
      <xdr:row>0</xdr:row>
      <xdr:rowOff>1905</xdr:rowOff>
    </xdr:from>
    <xdr:to>
      <xdr:col>7</xdr:col>
      <xdr:colOff>97790</xdr:colOff>
      <xdr:row>0</xdr:row>
      <xdr:rowOff>430530</xdr:rowOff>
    </xdr:to>
    <xdr:sp macro="[0]!delete04">
      <xdr:nvSpPr>
        <xdr:cNvPr id="5" name="圆角矩形 4"/>
        <xdr:cNvSpPr/>
      </xdr:nvSpPr>
      <xdr:spPr>
        <a:xfrm>
          <a:off x="48742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562610</xdr:colOff>
      <xdr:row>0</xdr:row>
      <xdr:rowOff>1905</xdr:rowOff>
    </xdr:from>
    <xdr:to>
      <xdr:col>8</xdr:col>
      <xdr:colOff>358140</xdr:colOff>
      <xdr:row>0</xdr:row>
      <xdr:rowOff>430530</xdr:rowOff>
    </xdr:to>
    <xdr:sp macro="[0]!queryAll">
      <xdr:nvSpPr>
        <xdr:cNvPr id="6" name="圆角矩形 5"/>
        <xdr:cNvSpPr/>
      </xdr:nvSpPr>
      <xdr:spPr>
        <a:xfrm>
          <a:off x="64109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6</xdr:col>
      <xdr:colOff>40640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95885</xdr:colOff>
      <xdr:row>0</xdr:row>
      <xdr:rowOff>0</xdr:rowOff>
    </xdr:from>
    <xdr:to>
      <xdr:col>9</xdr:col>
      <xdr:colOff>342265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697865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1162685</xdr:colOff>
      <xdr:row>0</xdr:row>
      <xdr:rowOff>0</xdr:rowOff>
    </xdr:from>
    <xdr:to>
      <xdr:col>5</xdr:col>
      <xdr:colOff>789940</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1254760</xdr:colOff>
      <xdr:row>0</xdr:row>
      <xdr:rowOff>1270</xdr:rowOff>
    </xdr:from>
    <xdr:to>
      <xdr:col>6</xdr:col>
      <xdr:colOff>888365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1353185</xdr:colOff>
      <xdr:row>0</xdr:row>
      <xdr:rowOff>1270</xdr:rowOff>
    </xdr:from>
    <xdr:to>
      <xdr:col>7</xdr:col>
      <xdr:colOff>986790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173990</xdr:colOff>
      <xdr:row>0</xdr:row>
      <xdr:rowOff>429260</xdr:rowOff>
    </xdr:to>
    <xdr:sp macro="[0]!select07">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200025</xdr:colOff>
      <xdr:row>0</xdr:row>
      <xdr:rowOff>635</xdr:rowOff>
    </xdr:from>
    <xdr:to>
      <xdr:col>9</xdr:col>
      <xdr:colOff>33020</xdr:colOff>
      <xdr:row>0</xdr:row>
      <xdr:rowOff>429260</xdr:rowOff>
    </xdr:to>
    <xdr:sp macro="[0]!save07">
      <xdr:nvSpPr>
        <xdr:cNvPr id="4" name="圆角矩形 3"/>
        <xdr:cNvSpPr/>
      </xdr:nvSpPr>
      <xdr:spPr>
        <a:xfrm>
          <a:off x="331470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一键解除</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212090</xdr:colOff>
      <xdr:row>0</xdr:row>
      <xdr:rowOff>429260</xdr:rowOff>
    </xdr:to>
    <xdr:sp macro="[0]!select08">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5</xdr:col>
      <xdr:colOff>247650</xdr:colOff>
      <xdr:row>0</xdr:row>
      <xdr:rowOff>432435</xdr:rowOff>
    </xdr:to>
    <xdr:sp>
      <xdr:nvSpPr>
        <xdr:cNvPr id="5" name="圆角矩形 4">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select09">
      <xdr:nvSpPr>
        <xdr:cNvPr id="6" name="圆角矩形 5"/>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29210</xdr:colOff>
      <xdr:row>0</xdr:row>
      <xdr:rowOff>0</xdr:rowOff>
    </xdr:from>
    <xdr:to>
      <xdr:col>16</xdr:col>
      <xdr:colOff>266065</xdr:colOff>
      <xdr:row>0</xdr:row>
      <xdr:rowOff>428625</xdr:rowOff>
    </xdr:to>
    <xdr:sp macro="[0]!queryAll">
      <xdr:nvSpPr>
        <xdr:cNvPr id="7" name="圆角矩形 6"/>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1</xdr:col>
      <xdr:colOff>0</xdr:colOff>
      <xdr:row>5</xdr:row>
      <xdr:rowOff>0</xdr:rowOff>
    </xdr:from>
    <xdr:to>
      <xdr:col>101</xdr:col>
      <xdr:colOff>274320</xdr:colOff>
      <xdr:row>28</xdr:row>
      <xdr:rowOff>160020</xdr:rowOff>
    </xdr:to>
    <xdr:graphicFrame>
      <xdr:nvGraphicFramePr>
        <xdr:cNvPr id="8" name="图表 7"/>
        <xdr:cNvGraphicFramePr/>
      </xdr:nvGraphicFramePr>
      <xdr:xfrm>
        <a:off x="276225" y="1552575"/>
        <a:ext cx="27620595" cy="432244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5</xdr:row>
      <xdr:rowOff>9525</xdr:rowOff>
    </xdr:from>
    <xdr:to>
      <xdr:col>101</xdr:col>
      <xdr:colOff>274320</xdr:colOff>
      <xdr:row>28</xdr:row>
      <xdr:rowOff>169545</xdr:rowOff>
    </xdr:to>
    <xdr:graphicFrame>
      <xdr:nvGraphicFramePr>
        <xdr:cNvPr id="2" name="图表 1"/>
        <xdr:cNvGraphicFramePr/>
      </xdr:nvGraphicFramePr>
      <xdr:xfrm>
        <a:off x="276225" y="1562100"/>
        <a:ext cx="27620595" cy="432244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0</xdr:row>
      <xdr:rowOff>635</xdr:rowOff>
    </xdr:from>
    <xdr:to>
      <xdr:col>5</xdr:col>
      <xdr:colOff>247650</xdr:colOff>
      <xdr:row>0</xdr:row>
      <xdr:rowOff>432435</xdr:rowOff>
    </xdr:to>
    <xdr:sp>
      <xdr:nvSpPr>
        <xdr:cNvPr id="3" name="圆角矩形 2">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queryAll">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88265</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553085</xdr:colOff>
      <xdr:row>0</xdr:row>
      <xdr:rowOff>0</xdr:rowOff>
    </xdr:from>
    <xdr:to>
      <xdr:col>4</xdr:col>
      <xdr:colOff>1618615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35560</xdr:colOff>
      <xdr:row>0</xdr:row>
      <xdr:rowOff>1270</xdr:rowOff>
    </xdr:from>
    <xdr:to>
      <xdr:col>6</xdr:col>
      <xdr:colOff>421640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1031240</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391160</xdr:colOff>
      <xdr:row>0</xdr:row>
      <xdr:rowOff>0</xdr:rowOff>
    </xdr:from>
    <xdr:to>
      <xdr:col>6</xdr:col>
      <xdr:colOff>351790</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816610</xdr:colOff>
      <xdr:row>0</xdr:row>
      <xdr:rowOff>1270</xdr:rowOff>
    </xdr:from>
    <xdr:to>
      <xdr:col>7</xdr:col>
      <xdr:colOff>869315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305435</xdr:colOff>
      <xdr:row>0</xdr:row>
      <xdr:rowOff>1905</xdr:rowOff>
    </xdr:from>
    <xdr:to>
      <xdr:col>9</xdr:col>
      <xdr:colOff>358140</xdr:colOff>
      <xdr:row>0</xdr:row>
      <xdr:rowOff>430530</xdr:rowOff>
    </xdr:to>
    <xdr:sp macro="[0]!queryAll">
      <xdr:nvSpPr>
        <xdr:cNvPr id="6" name="圆角矩形 5"/>
        <xdr:cNvSpPr/>
      </xdr:nvSpPr>
      <xdr:spPr>
        <a:xfrm>
          <a:off x="6401435"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752475</xdr:colOff>
      <xdr:row>0</xdr:row>
      <xdr:rowOff>635</xdr:rowOff>
    </xdr:from>
    <xdr:to>
      <xdr:col>10</xdr:col>
      <xdr:colOff>805180</xdr:colOff>
      <xdr:row>0</xdr:row>
      <xdr:rowOff>429260</xdr:rowOff>
    </xdr:to>
    <xdr:sp macro="[0]!daochu">
      <xdr:nvSpPr>
        <xdr:cNvPr id="7" name="圆角矩形 6"/>
        <xdr:cNvSpPr/>
      </xdr:nvSpPr>
      <xdr:spPr>
        <a:xfrm>
          <a:off x="78676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D28" sqref="AD28"/>
    </sheetView>
  </sheetViews>
  <sheetFormatPr defaultColWidth="3.625" defaultRowHeight="17.1" customHeight="1"/>
  <cols>
    <col min="1" max="1" width="3.625" style="33" customWidth="1"/>
    <col min="2" max="16384" width="3.625" style="33"/>
  </cols>
  <sheetData>
    <row r="4" customHeight="1" spans="1:42">
      <c r="A4" s="34"/>
      <c r="B4" s="34"/>
      <c r="C4" s="34"/>
      <c r="D4" s="34"/>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row>
    <row r="5" customHeight="1" spans="1:42">
      <c r="A5" s="34"/>
      <c r="B5" s="34"/>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row>
    <row r="6" customHeight="1" spans="1:42">
      <c r="A6" s="35"/>
      <c r="B6" s="35"/>
      <c r="C6" s="35"/>
      <c r="D6" s="35"/>
      <c r="E6" s="35"/>
      <c r="F6" s="35"/>
      <c r="G6" s="35"/>
      <c r="H6" s="36"/>
      <c r="I6" s="36"/>
      <c r="J6" s="36"/>
      <c r="K6" s="36"/>
      <c r="L6" s="36"/>
      <c r="M6" s="36"/>
      <c r="N6" s="36"/>
      <c r="O6" s="36"/>
      <c r="P6" s="36"/>
      <c r="Q6" s="36"/>
      <c r="R6" s="35"/>
      <c r="S6" s="35"/>
      <c r="T6" s="35"/>
      <c r="U6" s="35"/>
      <c r="V6" s="35"/>
      <c r="W6" s="35"/>
      <c r="X6" s="35"/>
      <c r="Y6" s="35"/>
      <c r="Z6" s="35"/>
      <c r="AA6" s="35"/>
      <c r="AB6" s="35"/>
      <c r="AC6" s="35"/>
      <c r="AD6" s="35"/>
      <c r="AE6" s="35"/>
      <c r="AF6" s="35"/>
      <c r="AG6" s="35"/>
      <c r="AH6" s="35"/>
      <c r="AI6" s="35"/>
      <c r="AJ6" s="35"/>
      <c r="AK6" s="35"/>
      <c r="AL6" s="35"/>
      <c r="AM6" s="35"/>
      <c r="AN6" s="35"/>
      <c r="AO6" s="35"/>
      <c r="AP6" s="35"/>
    </row>
    <row r="7" customHeight="1" spans="5:23">
      <c r="E7" s="37"/>
      <c r="F7" s="37"/>
      <c r="G7" s="37"/>
      <c r="H7" s="38"/>
      <c r="I7" s="38"/>
      <c r="J7" s="38"/>
      <c r="K7" s="38"/>
      <c r="L7" s="38"/>
      <c r="M7" s="38"/>
      <c r="N7" s="39"/>
      <c r="O7" s="39"/>
      <c r="P7" s="39"/>
      <c r="Q7" s="39"/>
      <c r="T7" s="39"/>
      <c r="U7" s="39"/>
      <c r="V7" s="39"/>
      <c r="W7" s="39"/>
    </row>
    <row r="8" customHeight="1" spans="8:23">
      <c r="H8" s="39"/>
      <c r="I8" s="39"/>
      <c r="J8" s="39"/>
      <c r="K8" s="39"/>
      <c r="L8" s="39"/>
      <c r="M8" s="39"/>
      <c r="N8" s="39"/>
      <c r="O8" s="39"/>
      <c r="P8" s="39"/>
      <c r="Q8" s="39"/>
      <c r="T8" s="39"/>
      <c r="U8" s="39"/>
      <c r="V8" s="39"/>
      <c r="W8" s="39"/>
    </row>
    <row r="9" customHeight="1" spans="8:23">
      <c r="H9" s="39"/>
      <c r="I9" s="39"/>
      <c r="J9" s="39"/>
      <c r="K9" s="39"/>
      <c r="L9" s="39"/>
      <c r="M9" s="39"/>
      <c r="N9" s="39"/>
      <c r="O9" s="39"/>
      <c r="P9" s="39"/>
      <c r="Q9" s="39"/>
      <c r="R9" s="39"/>
      <c r="S9" s="39"/>
      <c r="T9" s="39"/>
      <c r="U9" s="39"/>
      <c r="V9" s="39"/>
      <c r="W9" s="39"/>
    </row>
    <row r="10" customHeight="1" spans="17:23">
      <c r="Q10" s="39"/>
      <c r="R10" s="39"/>
      <c r="S10" s="39"/>
      <c r="T10" s="39"/>
      <c r="U10" s="39"/>
      <c r="V10" s="39"/>
      <c r="W10" s="39"/>
    </row>
    <row r="11" customHeight="1" spans="17:23">
      <c r="Q11" s="39"/>
      <c r="R11" s="39"/>
      <c r="S11" s="39"/>
      <c r="T11" s="39"/>
      <c r="U11" s="39"/>
      <c r="V11" s="39"/>
      <c r="W11" s="39"/>
    </row>
    <row r="12" customHeight="1" spans="17:23">
      <c r="Q12" s="39"/>
      <c r="R12" s="39"/>
      <c r="S12" s="39"/>
      <c r="T12" s="39"/>
      <c r="U12" s="39"/>
      <c r="V12" s="39"/>
      <c r="W12" s="39"/>
    </row>
    <row r="13" customHeight="1" spans="17:23">
      <c r="Q13" s="39"/>
      <c r="R13" s="39"/>
      <c r="S13" s="39"/>
      <c r="T13" s="39"/>
      <c r="U13" s="39"/>
      <c r="V13" s="39"/>
      <c r="W13" s="39"/>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15" customWidth="1"/>
    <col min="2" max="2" width="2.625" style="16" customWidth="1"/>
    <col min="3" max="3" width="15.25" style="17" customWidth="1"/>
    <col min="4" max="4" width="19.125" style="18" customWidth="1"/>
    <col min="5" max="5" width="10.5" style="18" customWidth="1"/>
    <col min="6" max="8" width="24.625" style="18" customWidth="1"/>
    <col min="9" max="9" width="2.625" style="16" customWidth="1"/>
    <col min="10" max="10" width="4.25" style="15" customWidth="1"/>
    <col min="11" max="16384" width="9" style="15"/>
  </cols>
  <sheetData>
    <row r="1" s="13" customFormat="1" ht="54.95" customHeight="1" spans="1:10">
      <c r="A1" s="19"/>
      <c r="C1" s="20"/>
      <c r="J1" s="32"/>
    </row>
    <row r="2" ht="15.95" customHeight="1" spans="2:9">
      <c r="B2" s="15"/>
      <c r="C2" s="21"/>
      <c r="D2" s="15"/>
      <c r="E2" s="15"/>
      <c r="F2" s="15"/>
      <c r="G2" s="15"/>
      <c r="H2" s="15"/>
      <c r="I2" s="15"/>
    </row>
    <row r="3" ht="15.95" customHeight="1" spans="3:8">
      <c r="C3" s="22"/>
      <c r="D3" s="16"/>
      <c r="E3" s="16"/>
      <c r="F3" s="16"/>
      <c r="G3" s="16"/>
      <c r="H3" s="16"/>
    </row>
    <row r="4" ht="75.95" customHeight="1" spans="3:8">
      <c r="C4" s="23" t="s">
        <v>0</v>
      </c>
      <c r="D4" s="24"/>
      <c r="E4" s="24"/>
      <c r="F4" s="25">
        <f>D7</f>
        <v>1</v>
      </c>
      <c r="G4" s="26" t="s">
        <v>1</v>
      </c>
      <c r="H4" s="26"/>
    </row>
    <row r="5" ht="6" customHeight="1" spans="3:8">
      <c r="C5" s="27"/>
      <c r="D5" s="24"/>
      <c r="E5" s="24"/>
      <c r="F5" s="28"/>
      <c r="G5" s="28"/>
      <c r="H5" s="28"/>
    </row>
    <row r="6" s="14" customFormat="1" ht="9" customHeight="1" spans="2:9">
      <c r="B6" s="16"/>
      <c r="C6" s="29"/>
      <c r="D6" s="30"/>
      <c r="E6" s="30"/>
      <c r="F6" s="31"/>
      <c r="G6" s="31"/>
      <c r="H6" s="31"/>
      <c r="I6" s="16"/>
    </row>
    <row r="7" hidden="1" customHeight="1" spans="2:4">
      <c r="B7" s="16" t="s">
        <v>2</v>
      </c>
      <c r="D7" s="18">
        <v>1</v>
      </c>
    </row>
    <row r="8" customHeight="1" spans="3:4">
      <c r="C8" s="17" t="s">
        <v>3</v>
      </c>
      <c r="D8" s="18" t="s">
        <v>4</v>
      </c>
    </row>
    <row r="9" customHeight="1" spans="3:4">
      <c r="C9" s="17" t="s">
        <v>5</v>
      </c>
      <c r="D9" s="18" t="s">
        <v>6</v>
      </c>
    </row>
    <row r="10" customHeight="1" spans="3:4">
      <c r="C10" s="17" t="s">
        <v>7</v>
      </c>
      <c r="D10" s="18" t="s">
        <v>8</v>
      </c>
    </row>
    <row r="11" customHeight="1" spans="3:4">
      <c r="C11" s="17" t="s">
        <v>9</v>
      </c>
      <c r="D11" s="18" t="s">
        <v>10</v>
      </c>
    </row>
    <row r="18" hidden="1" customHeight="1" spans="3:4">
      <c r="C18" s="17" t="s">
        <v>3</v>
      </c>
      <c r="D18" s="18" t="s">
        <v>11</v>
      </c>
    </row>
    <row r="19" hidden="1" customHeight="1" spans="3:4">
      <c r="C19" s="17" t="s">
        <v>5</v>
      </c>
      <c r="D19" s="18" t="s">
        <v>12</v>
      </c>
    </row>
    <row r="20" hidden="1" customHeight="1" spans="3:4">
      <c r="C20" s="17" t="s">
        <v>7</v>
      </c>
      <c r="D20" s="18" t="s">
        <v>13</v>
      </c>
    </row>
    <row r="21" hidden="1" customHeight="1"/>
    <row r="22" hidden="1" customHeight="1"/>
    <row r="23" hidden="1" customHeight="1"/>
    <row r="24" hidden="1" customHeight="1"/>
    <row r="25" hidden="1" customHeight="1"/>
    <row r="26" hidden="1" customHeight="1"/>
    <row r="27" hidden="1" customHeight="1"/>
    <row r="28" hidden="1" customHeight="1" spans="3:4">
      <c r="C28" s="17" t="s">
        <v>3</v>
      </c>
      <c r="D28" s="18" t="s">
        <v>14</v>
      </c>
    </row>
    <row r="29" hidden="1" customHeight="1" spans="3:4">
      <c r="C29" s="17" t="s">
        <v>5</v>
      </c>
      <c r="D29" s="18" t="s">
        <v>6</v>
      </c>
    </row>
    <row r="30" hidden="1" customHeight="1" spans="3:4">
      <c r="C30" s="17" t="s">
        <v>7</v>
      </c>
      <c r="D30" s="18" t="s">
        <v>15</v>
      </c>
    </row>
    <row r="31" hidden="1" customHeight="1" spans="3:4">
      <c r="C31" s="17" t="s">
        <v>9</v>
      </c>
      <c r="D31" s="18" t="s">
        <v>10</v>
      </c>
    </row>
    <row r="32" hidden="1" customHeight="1"/>
    <row r="33" hidden="1" customHeight="1"/>
    <row r="34" hidden="1" customHeight="1"/>
    <row r="35" hidden="1" customHeight="1"/>
    <row r="36" hidden="1" customHeight="1"/>
    <row r="37" hidden="1" customHeight="1"/>
    <row r="38" hidden="1" customHeight="1" spans="3:4">
      <c r="C38" s="17" t="s">
        <v>3</v>
      </c>
      <c r="D38" s="18" t="s">
        <v>16</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17" t="s">
        <v>3</v>
      </c>
      <c r="D48" s="18" t="s">
        <v>17</v>
      </c>
    </row>
    <row r="49" hidden="1" customHeight="1" spans="3:4">
      <c r="C49" s="17" t="s">
        <v>5</v>
      </c>
      <c r="D49" s="18" t="s">
        <v>18</v>
      </c>
    </row>
    <row r="50" hidden="1" customHeight="1" spans="3:4">
      <c r="C50" s="17" t="s">
        <v>7</v>
      </c>
      <c r="D50" s="18" t="s">
        <v>19</v>
      </c>
    </row>
    <row r="51" hidden="1" customHeight="1"/>
    <row r="52" hidden="1" customHeight="1"/>
    <row r="53" hidden="1" customHeight="1"/>
    <row r="54" hidden="1" customHeight="1"/>
    <row r="55" hidden="1" customHeight="1"/>
    <row r="56" hidden="1" customHeight="1"/>
    <row r="57" hidden="1" customHeight="1"/>
    <row r="58" hidden="1" customHeight="1" spans="3:4">
      <c r="C58" s="17" t="s">
        <v>3</v>
      </c>
      <c r="D58" s="18" t="s">
        <v>20</v>
      </c>
    </row>
    <row r="59" hidden="1" customHeight="1" spans="4:4">
      <c r="D59" s="18" t="s">
        <v>21</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17" t="s">
        <v>3</v>
      </c>
      <c r="D68" s="18" t="s">
        <v>22</v>
      </c>
    </row>
    <row r="69" hidden="1" customHeight="1" spans="3:4">
      <c r="C69" s="17" t="s">
        <v>5</v>
      </c>
      <c r="D69" s="18" t="s">
        <v>23</v>
      </c>
    </row>
    <row r="70" hidden="1" customHeight="1" spans="3:4">
      <c r="C70" s="17" t="s">
        <v>7</v>
      </c>
      <c r="D70" s="18" t="s">
        <v>24</v>
      </c>
    </row>
    <row r="71" hidden="1" customHeight="1" spans="3:4">
      <c r="C71" s="17" t="s">
        <v>9</v>
      </c>
      <c r="D71" s="18" t="s">
        <v>25</v>
      </c>
    </row>
    <row r="72" hidden="1" customHeight="1"/>
    <row r="73" hidden="1" customHeight="1"/>
    <row r="74" hidden="1" customHeight="1"/>
    <row r="75" hidden="1" customHeight="1"/>
    <row r="76" hidden="1" customHeight="1"/>
    <row r="77" hidden="1" customHeight="1"/>
    <row r="78" hidden="1" customHeight="1" spans="3:3">
      <c r="C78" s="17">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17">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17">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13"/>
  <sheetViews>
    <sheetView workbookViewId="0">
      <selection activeCell="B13" sqref="B13"/>
    </sheetView>
  </sheetViews>
  <sheetFormatPr defaultColWidth="9" defaultRowHeight="14.25" outlineLevelCol="5"/>
  <cols>
    <col min="1" max="1" width="22.125" customWidth="1"/>
    <col min="6" max="6" width="16.125" customWidth="1"/>
  </cols>
  <sheetData>
    <row r="1" spans="1:1">
      <c r="A1" s="11">
        <v>58441</v>
      </c>
    </row>
    <row r="3" spans="1:6">
      <c r="A3" t="s">
        <v>26</v>
      </c>
      <c r="B3" t="s">
        <v>27</v>
      </c>
      <c r="C3" t="s">
        <v>28</v>
      </c>
      <c r="D3" t="s">
        <v>28</v>
      </c>
      <c r="E3" t="s">
        <v>29</v>
      </c>
      <c r="F3" s="12" t="s">
        <v>30</v>
      </c>
    </row>
    <row r="5" spans="1:5">
      <c r="A5" t="s">
        <v>31</v>
      </c>
      <c r="B5" t="s">
        <v>32</v>
      </c>
      <c r="C5" t="s">
        <v>32</v>
      </c>
      <c r="D5" t="s">
        <v>32</v>
      </c>
      <c r="E5" t="s">
        <v>32</v>
      </c>
    </row>
    <row r="6" spans="1:5">
      <c r="A6" t="s">
        <v>33</v>
      </c>
      <c r="B6" t="s">
        <v>32</v>
      </c>
      <c r="C6" t="s">
        <v>32</v>
      </c>
      <c r="D6" t="s">
        <v>32</v>
      </c>
      <c r="E6" t="s">
        <v>32</v>
      </c>
    </row>
    <row r="7" spans="1:5">
      <c r="A7" t="s">
        <v>34</v>
      </c>
      <c r="B7" t="s">
        <v>32</v>
      </c>
      <c r="C7" t="s">
        <v>32</v>
      </c>
      <c r="D7" t="s">
        <v>32</v>
      </c>
      <c r="E7" t="s">
        <v>32</v>
      </c>
    </row>
    <row r="8" spans="1:5">
      <c r="A8" t="s">
        <v>35</v>
      </c>
      <c r="B8" t="s">
        <v>32</v>
      </c>
      <c r="C8" t="s">
        <v>32</v>
      </c>
      <c r="D8" t="s">
        <v>32</v>
      </c>
      <c r="E8" t="s">
        <v>32</v>
      </c>
    </row>
    <row r="9" spans="1:5">
      <c r="A9" t="s">
        <v>1</v>
      </c>
      <c r="B9" t="s">
        <v>32</v>
      </c>
      <c r="C9" t="s">
        <v>32</v>
      </c>
      <c r="D9" t="s">
        <v>32</v>
      </c>
      <c r="E9" t="s">
        <v>32</v>
      </c>
    </row>
    <row r="10" spans="1:5">
      <c r="A10" t="s">
        <v>36</v>
      </c>
      <c r="B10" t="s">
        <v>32</v>
      </c>
      <c r="C10" t="s">
        <v>32</v>
      </c>
      <c r="D10" t="s">
        <v>32</v>
      </c>
      <c r="E10" t="s">
        <v>32</v>
      </c>
    </row>
    <row r="11" spans="1:5">
      <c r="A11" t="s">
        <v>37</v>
      </c>
      <c r="B11" t="s">
        <v>32</v>
      </c>
      <c r="C11" t="s">
        <v>32</v>
      </c>
      <c r="D11" t="s">
        <v>32</v>
      </c>
      <c r="E11" t="s">
        <v>32</v>
      </c>
    </row>
    <row r="12" spans="1:5">
      <c r="A12" t="s">
        <v>38</v>
      </c>
      <c r="B12" t="s">
        <v>32</v>
      </c>
      <c r="C12" t="s">
        <v>32</v>
      </c>
      <c r="D12" t="s">
        <v>32</v>
      </c>
      <c r="E12" t="s">
        <v>32</v>
      </c>
    </row>
    <row r="13" spans="1:5">
      <c r="A13" t="s">
        <v>39</v>
      </c>
      <c r="B13" t="s">
        <v>32</v>
      </c>
      <c r="C13" t="s">
        <v>40</v>
      </c>
      <c r="D13" t="s">
        <v>32</v>
      </c>
      <c r="E13" t="s">
        <v>32</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L8"/>
  <sheetViews>
    <sheetView showGridLines="0" workbookViewId="0">
      <pane ySplit="4" topLeftCell="A5" activePane="bottomLeft" state="frozen"/>
      <selection/>
      <selection pane="bottomLeft" activeCell="F8" sqref="F8"/>
    </sheetView>
  </sheetViews>
  <sheetFormatPr defaultColWidth="9" defaultRowHeight="20" customHeight="1" outlineLevelRow="7"/>
  <cols>
    <col min="1" max="1" width="3.625" style="2" customWidth="1"/>
    <col min="2" max="2" width="3.625" style="2" hidden="1" customWidth="1"/>
    <col min="3" max="3" width="6.125" style="3" customWidth="1"/>
    <col min="4" max="11" width="16.75" style="3" customWidth="1"/>
    <col min="12" max="12" width="22.125" style="9" hidden="1" customWidth="1"/>
    <col min="13" max="16384" width="9" style="2"/>
  </cols>
  <sheetData>
    <row r="1" s="1" customFormat="1" ht="50" customHeight="1" spans="12:12">
      <c r="L1" s="10"/>
    </row>
    <row r="2" s="1" customFormat="1" ht="40" hidden="1" customHeight="1" spans="12:12">
      <c r="L2" s="10"/>
    </row>
    <row r="3" s="1" customFormat="1" ht="40" customHeight="1" spans="3:12">
      <c r="C3" s="4" t="s">
        <v>41</v>
      </c>
      <c r="L3" s="10"/>
    </row>
    <row r="4" s="1" customFormat="1" ht="30" customHeight="1" spans="3:12">
      <c r="C4" s="5" t="s">
        <v>42</v>
      </c>
      <c r="D4" s="5" t="s">
        <v>43</v>
      </c>
      <c r="E4" s="5" t="s">
        <v>44</v>
      </c>
      <c r="F4" s="5" t="s">
        <v>45</v>
      </c>
      <c r="G4" s="5" t="s">
        <v>46</v>
      </c>
      <c r="H4" s="5" t="s">
        <v>47</v>
      </c>
      <c r="I4" s="5" t="s">
        <v>48</v>
      </c>
      <c r="J4" s="5" t="s">
        <v>49</v>
      </c>
      <c r="K4" s="5" t="s">
        <v>50</v>
      </c>
      <c r="L4" s="10"/>
    </row>
    <row r="5" customHeight="1" spans="2:12">
      <c r="B5" s="2">
        <v>300</v>
      </c>
      <c r="C5" s="3">
        <v>1</v>
      </c>
      <c r="D5" s="3" t="s">
        <v>27</v>
      </c>
      <c r="E5" s="3" t="s">
        <v>28</v>
      </c>
      <c r="F5" s="3" t="s">
        <v>28</v>
      </c>
      <c r="G5" s="3" t="s">
        <v>29</v>
      </c>
      <c r="H5" s="3" t="s">
        <v>51</v>
      </c>
      <c r="I5" s="3" t="s">
        <v>52</v>
      </c>
      <c r="J5" s="3">
        <v>18888888888</v>
      </c>
      <c r="K5" s="3">
        <v>457853</v>
      </c>
      <c r="L5" s="9" t="s">
        <v>30</v>
      </c>
    </row>
    <row r="6" customHeight="1" spans="2:12">
      <c r="B6" s="2">
        <v>640</v>
      </c>
      <c r="C6" s="3">
        <v>2</v>
      </c>
      <c r="D6" s="3" t="s">
        <v>53</v>
      </c>
      <c r="E6" s="3" t="s">
        <v>54</v>
      </c>
      <c r="F6" s="3">
        <v>123</v>
      </c>
      <c r="G6" s="3" t="s">
        <v>29</v>
      </c>
      <c r="H6" s="3" t="s">
        <v>55</v>
      </c>
      <c r="I6" s="3" t="s">
        <v>56</v>
      </c>
      <c r="J6" s="3">
        <v>13333333333</v>
      </c>
      <c r="K6" s="3">
        <v>123123</v>
      </c>
      <c r="L6" s="9" t="s">
        <v>57</v>
      </c>
    </row>
    <row r="7" customHeight="1" spans="2:12">
      <c r="B7" s="2">
        <v>643</v>
      </c>
      <c r="C7" s="3">
        <v>3</v>
      </c>
      <c r="D7" s="3" t="s">
        <v>58</v>
      </c>
      <c r="E7" s="3" t="s">
        <v>59</v>
      </c>
      <c r="F7" s="3">
        <v>123</v>
      </c>
      <c r="G7" s="3" t="s">
        <v>60</v>
      </c>
      <c r="H7" s="3" t="s">
        <v>51</v>
      </c>
      <c r="I7" s="3" t="s">
        <v>61</v>
      </c>
      <c r="J7" s="3">
        <v>11111111111</v>
      </c>
      <c r="K7" s="3">
        <v>12345</v>
      </c>
      <c r="L7" s="9" t="s">
        <v>62</v>
      </c>
    </row>
    <row r="8" customHeight="1" spans="2:12">
      <c r="B8" s="2">
        <v>648</v>
      </c>
      <c r="C8" s="3">
        <v>4</v>
      </c>
      <c r="D8" s="3" t="s">
        <v>63</v>
      </c>
      <c r="E8" s="3" t="s">
        <v>59</v>
      </c>
      <c r="F8" s="3">
        <v>123</v>
      </c>
      <c r="G8" s="3" t="s">
        <v>60</v>
      </c>
      <c r="H8" s="3" t="s">
        <v>51</v>
      </c>
      <c r="I8" s="3" t="s">
        <v>61</v>
      </c>
      <c r="J8" s="3">
        <v>11111111111</v>
      </c>
      <c r="K8" s="3">
        <v>12345</v>
      </c>
      <c r="L8" s="9" t="s">
        <v>64</v>
      </c>
    </row>
  </sheetData>
  <autoFilter ref="C4:K12">
    <extLst/>
  </autoFilter>
  <conditionalFormatting sqref="C5:K1048576">
    <cfRule type="expression" dxfId="0" priority="1">
      <formula>MOD(ROW(),2)=0</formula>
    </cfRule>
  </conditionalFormatting>
  <dataValidations count="1">
    <dataValidation type="list" allowBlank="1" showInputMessage="1" showErrorMessage="1" sqref="H5 H6:H1048576">
      <formula1>"正常,锁死"</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DB12"/>
  <sheetViews>
    <sheetView showGridLines="0" workbookViewId="0">
      <pane ySplit="4" topLeftCell="A5" activePane="bottomLeft" state="frozen"/>
      <selection/>
      <selection pane="bottomLeft" activeCell="F8" sqref="F8"/>
    </sheetView>
  </sheetViews>
  <sheetFormatPr defaultColWidth="9" defaultRowHeight="20" customHeight="1"/>
  <cols>
    <col min="1" max="1" width="3.625" style="2" customWidth="1"/>
    <col min="2" max="2" width="3.625" style="2" hidden="1" customWidth="1"/>
    <col min="3" max="3" width="6.125" style="3" customWidth="1"/>
    <col min="4" max="4" width="16.75" style="3" customWidth="1"/>
    <col min="5" max="104" width="5.375" style="3" customWidth="1"/>
    <col min="105" max="105" width="7.125" style="3" customWidth="1"/>
    <col min="106" max="106" width="9" style="9" hidden="1" customWidth="1"/>
    <col min="107" max="16384" width="9" style="2"/>
  </cols>
  <sheetData>
    <row r="1" s="1" customFormat="1" ht="50" customHeight="1" spans="106:106">
      <c r="DB1" s="10"/>
    </row>
    <row r="2" s="1" customFormat="1" ht="40" hidden="1" customHeight="1" spans="106:106">
      <c r="DB2" s="10"/>
    </row>
    <row r="3" s="1" customFormat="1" ht="40" customHeight="1" spans="3:106">
      <c r="C3" s="4" t="s">
        <v>65</v>
      </c>
      <c r="DB3" s="10"/>
    </row>
    <row r="4" s="1" customFormat="1" ht="30" customHeight="1" spans="3:106">
      <c r="C4" s="5" t="s">
        <v>42</v>
      </c>
      <c r="D4" s="5" t="s">
        <v>43</v>
      </c>
      <c r="E4" s="5" t="s">
        <v>66</v>
      </c>
      <c r="F4" s="5" t="s">
        <v>67</v>
      </c>
      <c r="G4" s="5" t="s">
        <v>68</v>
      </c>
      <c r="H4" s="5" t="s">
        <v>69</v>
      </c>
      <c r="I4" s="5" t="s">
        <v>70</v>
      </c>
      <c r="J4" s="5" t="s">
        <v>71</v>
      </c>
      <c r="K4" s="5" t="s">
        <v>72</v>
      </c>
      <c r="L4" s="5" t="s">
        <v>73</v>
      </c>
      <c r="M4" s="5" t="s">
        <v>74</v>
      </c>
      <c r="N4" s="5" t="s">
        <v>75</v>
      </c>
      <c r="O4" s="5" t="s">
        <v>76</v>
      </c>
      <c r="P4" s="5" t="s">
        <v>77</v>
      </c>
      <c r="Q4" s="5" t="s">
        <v>78</v>
      </c>
      <c r="R4" s="5" t="s">
        <v>79</v>
      </c>
      <c r="S4" s="5" t="s">
        <v>80</v>
      </c>
      <c r="T4" s="5" t="s">
        <v>81</v>
      </c>
      <c r="U4" s="5" t="s">
        <v>82</v>
      </c>
      <c r="V4" s="5" t="s">
        <v>83</v>
      </c>
      <c r="W4" s="5" t="s">
        <v>84</v>
      </c>
      <c r="X4" s="5" t="s">
        <v>85</v>
      </c>
      <c r="Y4" s="5" t="s">
        <v>86</v>
      </c>
      <c r="Z4" s="5" t="s">
        <v>87</v>
      </c>
      <c r="AA4" s="5" t="s">
        <v>88</v>
      </c>
      <c r="AB4" s="5" t="s">
        <v>89</v>
      </c>
      <c r="AC4" s="5" t="s">
        <v>90</v>
      </c>
      <c r="AD4" s="5" t="s">
        <v>91</v>
      </c>
      <c r="AE4" s="5" t="s">
        <v>92</v>
      </c>
      <c r="AF4" s="5" t="s">
        <v>93</v>
      </c>
      <c r="AG4" s="5" t="s">
        <v>94</v>
      </c>
      <c r="AH4" s="5" t="s">
        <v>95</v>
      </c>
      <c r="AI4" s="5" t="s">
        <v>96</v>
      </c>
      <c r="AJ4" s="5" t="s">
        <v>97</v>
      </c>
      <c r="AK4" s="5" t="s">
        <v>98</v>
      </c>
      <c r="AL4" s="5" t="s">
        <v>99</v>
      </c>
      <c r="AM4" s="5" t="s">
        <v>100</v>
      </c>
      <c r="AN4" s="5" t="s">
        <v>101</v>
      </c>
      <c r="AO4" s="5" t="s">
        <v>102</v>
      </c>
      <c r="AP4" s="5" t="s">
        <v>103</v>
      </c>
      <c r="AQ4" s="5" t="s">
        <v>104</v>
      </c>
      <c r="AR4" s="5" t="s">
        <v>105</v>
      </c>
      <c r="AS4" s="5" t="s">
        <v>106</v>
      </c>
      <c r="AT4" s="5" t="s">
        <v>107</v>
      </c>
      <c r="AU4" s="5" t="s">
        <v>108</v>
      </c>
      <c r="AV4" s="5" t="s">
        <v>109</v>
      </c>
      <c r="AW4" s="5" t="s">
        <v>110</v>
      </c>
      <c r="AX4" s="5" t="s">
        <v>111</v>
      </c>
      <c r="AY4" s="5" t="s">
        <v>112</v>
      </c>
      <c r="AZ4" s="5" t="s">
        <v>113</v>
      </c>
      <c r="BA4" s="5" t="s">
        <v>114</v>
      </c>
      <c r="BB4" s="5" t="s">
        <v>115</v>
      </c>
      <c r="BC4" s="5" t="s">
        <v>116</v>
      </c>
      <c r="BD4" s="5" t="s">
        <v>117</v>
      </c>
      <c r="BE4" s="5" t="s">
        <v>118</v>
      </c>
      <c r="BF4" s="5" t="s">
        <v>119</v>
      </c>
      <c r="BG4" s="5" t="s">
        <v>120</v>
      </c>
      <c r="BH4" s="5" t="s">
        <v>121</v>
      </c>
      <c r="BI4" s="5" t="s">
        <v>122</v>
      </c>
      <c r="BJ4" s="5" t="s">
        <v>123</v>
      </c>
      <c r="BK4" s="5" t="s">
        <v>124</v>
      </c>
      <c r="BL4" s="5" t="s">
        <v>125</v>
      </c>
      <c r="BM4" s="5" t="s">
        <v>126</v>
      </c>
      <c r="BN4" s="5" t="s">
        <v>127</v>
      </c>
      <c r="BO4" s="5" t="s">
        <v>128</v>
      </c>
      <c r="BP4" s="5" t="s">
        <v>128</v>
      </c>
      <c r="BQ4" s="5" t="s">
        <v>129</v>
      </c>
      <c r="BR4" s="5" t="s">
        <v>130</v>
      </c>
      <c r="BS4" s="5" t="s">
        <v>131</v>
      </c>
      <c r="BT4" s="5" t="s">
        <v>132</v>
      </c>
      <c r="BU4" s="5" t="s">
        <v>133</v>
      </c>
      <c r="BV4" s="5" t="s">
        <v>134</v>
      </c>
      <c r="BW4" s="5" t="s">
        <v>135</v>
      </c>
      <c r="BX4" s="5" t="s">
        <v>136</v>
      </c>
      <c r="BY4" s="5" t="s">
        <v>137</v>
      </c>
      <c r="BZ4" s="5" t="s">
        <v>138</v>
      </c>
      <c r="CA4" s="5" t="s">
        <v>139</v>
      </c>
      <c r="CB4" s="5" t="s">
        <v>140</v>
      </c>
      <c r="CC4" s="5" t="s">
        <v>141</v>
      </c>
      <c r="CD4" s="5" t="s">
        <v>142</v>
      </c>
      <c r="CE4" s="5" t="s">
        <v>143</v>
      </c>
      <c r="CF4" s="5" t="s">
        <v>144</v>
      </c>
      <c r="CG4" s="5" t="s">
        <v>145</v>
      </c>
      <c r="CH4" s="5" t="s">
        <v>146</v>
      </c>
      <c r="CI4" s="5" t="s">
        <v>147</v>
      </c>
      <c r="CJ4" s="5" t="s">
        <v>148</v>
      </c>
      <c r="CK4" s="5" t="s">
        <v>149</v>
      </c>
      <c r="CL4" s="5" t="s">
        <v>150</v>
      </c>
      <c r="CM4" s="5" t="s">
        <v>151</v>
      </c>
      <c r="CN4" s="5" t="s">
        <v>152</v>
      </c>
      <c r="CO4" s="5" t="s">
        <v>153</v>
      </c>
      <c r="CP4" s="5" t="s">
        <v>154</v>
      </c>
      <c r="CQ4" s="5" t="s">
        <v>155</v>
      </c>
      <c r="CR4" s="5" t="s">
        <v>156</v>
      </c>
      <c r="CS4" s="5" t="s">
        <v>157</v>
      </c>
      <c r="CT4" s="5" t="s">
        <v>158</v>
      </c>
      <c r="CU4" s="5" t="s">
        <v>159</v>
      </c>
      <c r="CV4" s="5" t="s">
        <v>160</v>
      </c>
      <c r="CW4" s="5" t="s">
        <v>161</v>
      </c>
      <c r="CX4" s="5" t="s">
        <v>162</v>
      </c>
      <c r="CY4" s="5" t="s">
        <v>163</v>
      </c>
      <c r="CZ4" s="5" t="s">
        <v>164</v>
      </c>
      <c r="DA4" s="5" t="s">
        <v>165</v>
      </c>
      <c r="DB4" s="10"/>
    </row>
    <row r="5" s="2" customFormat="1" customHeight="1" spans="2:106">
      <c r="B5" s="2">
        <v>176</v>
      </c>
      <c r="C5" s="3">
        <v>1</v>
      </c>
      <c r="D5" s="3" t="s">
        <v>27</v>
      </c>
      <c r="E5" s="3" t="s">
        <v>166</v>
      </c>
      <c r="F5" s="3" t="s">
        <v>166</v>
      </c>
      <c r="G5" s="3" t="s">
        <v>166</v>
      </c>
      <c r="H5" s="3" t="s">
        <v>166</v>
      </c>
      <c r="I5" s="3" t="s">
        <v>166</v>
      </c>
      <c r="J5" s="3" t="s">
        <v>166</v>
      </c>
      <c r="K5" s="3" t="s">
        <v>166</v>
      </c>
      <c r="L5" s="3" t="s">
        <v>166</v>
      </c>
      <c r="M5" s="3" t="s">
        <v>166</v>
      </c>
      <c r="N5" s="3" t="s">
        <v>166</v>
      </c>
      <c r="O5" s="3" t="s">
        <v>166</v>
      </c>
      <c r="P5" s="3" t="s">
        <v>166</v>
      </c>
      <c r="Q5" s="3" t="s">
        <v>166</v>
      </c>
      <c r="R5" s="3" t="s">
        <v>166</v>
      </c>
      <c r="S5" s="3" t="s">
        <v>166</v>
      </c>
      <c r="T5" s="3" t="s">
        <v>166</v>
      </c>
      <c r="U5" s="3" t="s">
        <v>166</v>
      </c>
      <c r="V5" s="3" t="s">
        <v>166</v>
      </c>
      <c r="W5" s="3" t="s">
        <v>166</v>
      </c>
      <c r="X5" s="3" t="s">
        <v>166</v>
      </c>
      <c r="Y5" s="3" t="s">
        <v>166</v>
      </c>
      <c r="Z5" s="3" t="s">
        <v>166</v>
      </c>
      <c r="AA5" s="3" t="s">
        <v>166</v>
      </c>
      <c r="AB5" s="3" t="s">
        <v>166</v>
      </c>
      <c r="AC5" s="3" t="s">
        <v>166</v>
      </c>
      <c r="AD5" s="3" t="s">
        <v>166</v>
      </c>
      <c r="AE5" s="3" t="s">
        <v>166</v>
      </c>
      <c r="AF5" s="3" t="s">
        <v>166</v>
      </c>
      <c r="AG5" s="3" t="s">
        <v>166</v>
      </c>
      <c r="AH5" s="3" t="s">
        <v>166</v>
      </c>
      <c r="AI5" s="3" t="s">
        <v>166</v>
      </c>
      <c r="AJ5" s="3" t="s">
        <v>166</v>
      </c>
      <c r="AK5" s="3" t="s">
        <v>166</v>
      </c>
      <c r="AL5" s="3" t="s">
        <v>166</v>
      </c>
      <c r="AM5" s="3" t="s">
        <v>166</v>
      </c>
      <c r="AN5" s="3" t="s">
        <v>166</v>
      </c>
      <c r="AO5" s="3" t="s">
        <v>166</v>
      </c>
      <c r="AP5" s="3" t="s">
        <v>166</v>
      </c>
      <c r="AQ5" s="3" t="s">
        <v>166</v>
      </c>
      <c r="AR5" s="3" t="s">
        <v>166</v>
      </c>
      <c r="AS5" s="3" t="s">
        <v>166</v>
      </c>
      <c r="AT5" s="3" t="s">
        <v>166</v>
      </c>
      <c r="AU5" s="3" t="s">
        <v>166</v>
      </c>
      <c r="AV5" s="3" t="s">
        <v>166</v>
      </c>
      <c r="AW5" s="3" t="s">
        <v>166</v>
      </c>
      <c r="AX5" s="3" t="s">
        <v>166</v>
      </c>
      <c r="AY5" s="3" t="s">
        <v>166</v>
      </c>
      <c r="AZ5" s="3" t="s">
        <v>166</v>
      </c>
      <c r="BA5" s="3" t="s">
        <v>166</v>
      </c>
      <c r="BB5" s="3" t="s">
        <v>166</v>
      </c>
      <c r="BC5" s="3" t="s">
        <v>167</v>
      </c>
      <c r="BD5" s="3" t="s">
        <v>166</v>
      </c>
      <c r="BE5" s="3" t="s">
        <v>166</v>
      </c>
      <c r="BF5" s="3" t="s">
        <v>166</v>
      </c>
      <c r="BG5" s="3" t="s">
        <v>166</v>
      </c>
      <c r="BH5" s="3" t="s">
        <v>166</v>
      </c>
      <c r="BI5" s="3" t="s">
        <v>166</v>
      </c>
      <c r="BJ5" s="3" t="s">
        <v>166</v>
      </c>
      <c r="BK5" s="3" t="s">
        <v>166</v>
      </c>
      <c r="BL5" s="3" t="s">
        <v>166</v>
      </c>
      <c r="BM5" s="3" t="s">
        <v>166</v>
      </c>
      <c r="BN5" s="3" t="s">
        <v>166</v>
      </c>
      <c r="BO5" s="3" t="s">
        <v>166</v>
      </c>
      <c r="BP5" s="3" t="s">
        <v>166</v>
      </c>
      <c r="BQ5" s="3" t="s">
        <v>166</v>
      </c>
      <c r="BR5" s="3" t="s">
        <v>166</v>
      </c>
      <c r="BS5" s="3" t="s">
        <v>166</v>
      </c>
      <c r="BT5" s="3" t="s">
        <v>166</v>
      </c>
      <c r="BU5" s="3" t="s">
        <v>166</v>
      </c>
      <c r="BV5" s="3" t="s">
        <v>166</v>
      </c>
      <c r="BW5" s="3" t="s">
        <v>166</v>
      </c>
      <c r="BX5" s="3" t="s">
        <v>166</v>
      </c>
      <c r="BY5" s="3" t="s">
        <v>166</v>
      </c>
      <c r="BZ5" s="3" t="s">
        <v>166</v>
      </c>
      <c r="CA5" s="3" t="s">
        <v>166</v>
      </c>
      <c r="CB5" s="3" t="s">
        <v>166</v>
      </c>
      <c r="CC5" s="3" t="s">
        <v>166</v>
      </c>
      <c r="CD5" s="3" t="s">
        <v>166</v>
      </c>
      <c r="CE5" s="3" t="s">
        <v>166</v>
      </c>
      <c r="CF5" s="3" t="s">
        <v>166</v>
      </c>
      <c r="CG5" s="3" t="s">
        <v>166</v>
      </c>
      <c r="CH5" s="3" t="s">
        <v>166</v>
      </c>
      <c r="CI5" s="3" t="s">
        <v>166</v>
      </c>
      <c r="CJ5" s="3" t="s">
        <v>166</v>
      </c>
      <c r="CK5" s="3" t="s">
        <v>166</v>
      </c>
      <c r="CL5" s="3" t="s">
        <v>166</v>
      </c>
      <c r="CM5" s="3" t="s">
        <v>166</v>
      </c>
      <c r="CN5" s="3" t="s">
        <v>166</v>
      </c>
      <c r="CO5" s="3" t="s">
        <v>166</v>
      </c>
      <c r="CP5" s="3" t="s">
        <v>166</v>
      </c>
      <c r="CQ5" s="3" t="s">
        <v>166</v>
      </c>
      <c r="CR5" s="3" t="s">
        <v>166</v>
      </c>
      <c r="CS5" s="3" t="s">
        <v>166</v>
      </c>
      <c r="CT5" s="3" t="s">
        <v>166</v>
      </c>
      <c r="CU5" s="3" t="s">
        <v>166</v>
      </c>
      <c r="CV5" s="3" t="s">
        <v>166</v>
      </c>
      <c r="CW5" s="3" t="s">
        <v>166</v>
      </c>
      <c r="CX5" s="3" t="s">
        <v>166</v>
      </c>
      <c r="CY5" s="3" t="s">
        <v>166</v>
      </c>
      <c r="CZ5" s="3" t="s">
        <v>166</v>
      </c>
      <c r="DA5" s="3" t="s">
        <v>168</v>
      </c>
      <c r="DB5" s="9" t="s">
        <v>30</v>
      </c>
    </row>
    <row r="6" s="2" customFormat="1" customHeight="1" spans="2:106">
      <c r="B6" s="2">
        <v>687</v>
      </c>
      <c r="C6" s="3">
        <v>2</v>
      </c>
      <c r="D6" s="3" t="s">
        <v>53</v>
      </c>
      <c r="E6" s="3" t="s">
        <v>166</v>
      </c>
      <c r="F6" s="3" t="s">
        <v>166</v>
      </c>
      <c r="G6" s="3" t="s">
        <v>166</v>
      </c>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t="s">
        <v>168</v>
      </c>
      <c r="DB6" s="9" t="s">
        <v>57</v>
      </c>
    </row>
    <row r="7" s="2" customFormat="1" customHeight="1" spans="2:106">
      <c r="B7" s="2">
        <v>694</v>
      </c>
      <c r="C7" s="3">
        <v>3</v>
      </c>
      <c r="D7" s="3" t="s">
        <v>58</v>
      </c>
      <c r="E7" s="3" t="s">
        <v>166</v>
      </c>
      <c r="F7" s="3" t="s">
        <v>166</v>
      </c>
      <c r="G7" s="3" t="s">
        <v>166</v>
      </c>
      <c r="H7" s="3" t="s">
        <v>166</v>
      </c>
      <c r="I7" s="3" t="s">
        <v>166</v>
      </c>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t="s">
        <v>168</v>
      </c>
      <c r="DB7" s="9" t="s">
        <v>62</v>
      </c>
    </row>
    <row r="8" s="2" customFormat="1" customHeight="1" spans="2:106">
      <c r="B8" s="2">
        <v>703</v>
      </c>
      <c r="C8" s="3">
        <v>4</v>
      </c>
      <c r="D8" s="3" t="s">
        <v>63</v>
      </c>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t="s">
        <v>168</v>
      </c>
      <c r="DB8" s="9" t="s">
        <v>64</v>
      </c>
    </row>
    <row r="9" s="2" customFormat="1" customHeight="1" spans="3:106">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9"/>
    </row>
    <row r="10" s="2" customFormat="1" customHeight="1" spans="3:106">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9"/>
    </row>
    <row r="11" s="2" customFormat="1" customHeight="1" spans="3:106">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9"/>
    </row>
    <row r="12" s="2" customFormat="1" customHeight="1" spans="3:106">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9"/>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DA5:DA1048576">
    <cfRule type="expression" dxfId="0" priority="1">
      <formula>MOD(ROW(),2)=0</formula>
    </cfRule>
  </conditionalFormatting>
  <conditionalFormatting sqref="C5:K1048576">
    <cfRule type="expression" dxfId="0" priority="95">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I22"/>
  <sheetViews>
    <sheetView showGridLines="0" workbookViewId="0">
      <pane ySplit="4" topLeftCell="A11" activePane="bottomLeft" state="frozen"/>
      <selection/>
      <selection pane="bottomLeft" activeCell="E3" sqref="E3"/>
    </sheetView>
  </sheetViews>
  <sheetFormatPr defaultColWidth="9" defaultRowHeight="20" customHeight="1"/>
  <cols>
    <col min="1" max="1" width="3.625" style="2" customWidth="1"/>
    <col min="2" max="2" width="3.625" style="2" hidden="1" customWidth="1"/>
    <col min="3" max="3" width="6.125" style="3" customWidth="1"/>
    <col min="4" max="9" width="18.875" style="3" customWidth="1"/>
    <col min="10" max="16384" width="9" style="2"/>
  </cols>
  <sheetData>
    <row r="1" s="1" customFormat="1" ht="50" customHeight="1"/>
    <row r="2" s="1" customFormat="1" ht="40" hidden="1" customHeight="1"/>
    <row r="3" s="1" customFormat="1" ht="40" customHeight="1" spans="3:3">
      <c r="C3" s="4" t="s">
        <v>169</v>
      </c>
    </row>
    <row r="4" s="1" customFormat="1" ht="30" customHeight="1" spans="3:9">
      <c r="C4" s="5" t="s">
        <v>42</v>
      </c>
      <c r="D4" s="5" t="s">
        <v>46</v>
      </c>
      <c r="E4" s="5" t="s">
        <v>170</v>
      </c>
      <c r="F4" s="5" t="s">
        <v>171</v>
      </c>
      <c r="G4" s="5" t="s">
        <v>172</v>
      </c>
      <c r="H4" s="5" t="s">
        <v>173</v>
      </c>
      <c r="I4" s="5" t="s">
        <v>174</v>
      </c>
    </row>
    <row r="5" s="2" customFormat="1" customHeight="1" spans="2:9">
      <c r="B5" s="2">
        <v>31</v>
      </c>
      <c r="C5" s="3">
        <v>1</v>
      </c>
      <c r="D5" s="3" t="s">
        <v>29</v>
      </c>
      <c r="E5" s="3" t="s">
        <v>31</v>
      </c>
      <c r="F5" s="3" t="s">
        <v>32</v>
      </c>
      <c r="G5" s="3" t="s">
        <v>32</v>
      </c>
      <c r="H5" s="3" t="s">
        <v>32</v>
      </c>
      <c r="I5" s="3" t="s">
        <v>32</v>
      </c>
    </row>
    <row r="6" s="2" customFormat="1" customHeight="1" spans="2:9">
      <c r="B6" s="2">
        <v>35</v>
      </c>
      <c r="C6" s="3">
        <v>2</v>
      </c>
      <c r="D6" s="3" t="s">
        <v>29</v>
      </c>
      <c r="E6" s="3" t="s">
        <v>33</v>
      </c>
      <c r="F6" s="3" t="s">
        <v>32</v>
      </c>
      <c r="G6" s="3" t="s">
        <v>32</v>
      </c>
      <c r="H6" s="3" t="s">
        <v>32</v>
      </c>
      <c r="I6" s="3" t="s">
        <v>32</v>
      </c>
    </row>
    <row r="7" s="2" customFormat="1" customHeight="1" spans="2:9">
      <c r="B7" s="2">
        <v>36</v>
      </c>
      <c r="C7" s="3">
        <v>3</v>
      </c>
      <c r="D7" s="3" t="s">
        <v>29</v>
      </c>
      <c r="E7" s="3" t="s">
        <v>34</v>
      </c>
      <c r="F7" s="3" t="s">
        <v>32</v>
      </c>
      <c r="G7" s="3" t="s">
        <v>32</v>
      </c>
      <c r="H7" s="3" t="s">
        <v>32</v>
      </c>
      <c r="I7" s="3" t="s">
        <v>32</v>
      </c>
    </row>
    <row r="8" s="2" customFormat="1" customHeight="1" spans="2:9">
      <c r="B8" s="2">
        <v>37</v>
      </c>
      <c r="C8" s="3">
        <v>4</v>
      </c>
      <c r="D8" s="3" t="s">
        <v>29</v>
      </c>
      <c r="E8" s="3" t="s">
        <v>35</v>
      </c>
      <c r="F8" s="3" t="s">
        <v>32</v>
      </c>
      <c r="G8" s="3" t="s">
        <v>32</v>
      </c>
      <c r="H8" s="3" t="s">
        <v>32</v>
      </c>
      <c r="I8" s="3" t="s">
        <v>32</v>
      </c>
    </row>
    <row r="9" customHeight="1" spans="2:9">
      <c r="B9" s="2">
        <v>38</v>
      </c>
      <c r="C9" s="3">
        <v>5</v>
      </c>
      <c r="D9" s="3" t="s">
        <v>29</v>
      </c>
      <c r="E9" s="3" t="s">
        <v>1</v>
      </c>
      <c r="F9" s="3" t="s">
        <v>32</v>
      </c>
      <c r="G9" s="3" t="s">
        <v>32</v>
      </c>
      <c r="H9" s="3" t="s">
        <v>32</v>
      </c>
      <c r="I9" s="3" t="s">
        <v>32</v>
      </c>
    </row>
    <row r="10" customHeight="1" spans="2:9">
      <c r="B10" s="2">
        <v>39</v>
      </c>
      <c r="C10" s="3">
        <v>6</v>
      </c>
      <c r="D10" s="3" t="s">
        <v>29</v>
      </c>
      <c r="E10" s="3" t="s">
        <v>36</v>
      </c>
      <c r="F10" s="3" t="s">
        <v>32</v>
      </c>
      <c r="G10" s="3" t="s">
        <v>32</v>
      </c>
      <c r="H10" s="3" t="s">
        <v>32</v>
      </c>
      <c r="I10" s="3" t="s">
        <v>32</v>
      </c>
    </row>
    <row r="11" customHeight="1" spans="2:9">
      <c r="B11" s="2">
        <v>40</v>
      </c>
      <c r="C11" s="3">
        <v>7</v>
      </c>
      <c r="D11" s="3" t="s">
        <v>29</v>
      </c>
      <c r="E11" s="3" t="s">
        <v>37</v>
      </c>
      <c r="F11" s="3" t="s">
        <v>32</v>
      </c>
      <c r="G11" s="3" t="s">
        <v>32</v>
      </c>
      <c r="H11" s="3" t="s">
        <v>32</v>
      </c>
      <c r="I11" s="3" t="s">
        <v>32</v>
      </c>
    </row>
    <row r="12" customHeight="1" spans="2:9">
      <c r="B12" s="2">
        <v>41</v>
      </c>
      <c r="C12" s="3">
        <v>8</v>
      </c>
      <c r="D12" s="3" t="s">
        <v>29</v>
      </c>
      <c r="E12" s="3" t="s">
        <v>38</v>
      </c>
      <c r="F12" s="3" t="s">
        <v>32</v>
      </c>
      <c r="G12" s="3" t="s">
        <v>32</v>
      </c>
      <c r="H12" s="3" t="s">
        <v>32</v>
      </c>
      <c r="I12" s="3" t="s">
        <v>32</v>
      </c>
    </row>
    <row r="13" customHeight="1" spans="2:9">
      <c r="B13" s="2">
        <v>45</v>
      </c>
      <c r="C13" s="3">
        <v>9</v>
      </c>
      <c r="D13" s="3" t="s">
        <v>60</v>
      </c>
      <c r="E13" s="3" t="s">
        <v>34</v>
      </c>
      <c r="F13" s="3" t="s">
        <v>32</v>
      </c>
      <c r="G13" s="3" t="s">
        <v>32</v>
      </c>
      <c r="H13" s="3" t="s">
        <v>32</v>
      </c>
      <c r="I13" s="3" t="s">
        <v>32</v>
      </c>
    </row>
    <row r="14" customHeight="1" spans="2:9">
      <c r="B14" s="2">
        <v>47</v>
      </c>
      <c r="C14" s="3">
        <v>10</v>
      </c>
      <c r="D14" s="3" t="s">
        <v>60</v>
      </c>
      <c r="E14" s="3" t="s">
        <v>31</v>
      </c>
      <c r="F14" s="3" t="s">
        <v>32</v>
      </c>
      <c r="G14" s="3" t="s">
        <v>32</v>
      </c>
      <c r="H14" s="3" t="s">
        <v>32</v>
      </c>
      <c r="I14" s="3" t="s">
        <v>32</v>
      </c>
    </row>
    <row r="15" customHeight="1" spans="2:9">
      <c r="B15" s="2">
        <v>48</v>
      </c>
      <c r="C15" s="3">
        <v>11</v>
      </c>
      <c r="D15" s="3" t="s">
        <v>60</v>
      </c>
      <c r="E15" s="3" t="s">
        <v>33</v>
      </c>
      <c r="F15" s="3" t="s">
        <v>32</v>
      </c>
      <c r="G15" s="3" t="s">
        <v>32</v>
      </c>
      <c r="H15" s="3" t="s">
        <v>32</v>
      </c>
      <c r="I15" s="3" t="s">
        <v>32</v>
      </c>
    </row>
    <row r="16" customHeight="1" spans="2:9">
      <c r="B16" s="2">
        <v>49</v>
      </c>
      <c r="C16" s="3">
        <v>12</v>
      </c>
      <c r="D16" s="3" t="s">
        <v>60</v>
      </c>
      <c r="E16" s="3" t="s">
        <v>35</v>
      </c>
      <c r="F16" s="3" t="s">
        <v>32</v>
      </c>
      <c r="G16" s="3" t="s">
        <v>32</v>
      </c>
      <c r="H16" s="3" t="s">
        <v>32</v>
      </c>
      <c r="I16" s="3" t="s">
        <v>32</v>
      </c>
    </row>
    <row r="17" customHeight="1" spans="2:9">
      <c r="B17" s="2">
        <v>50</v>
      </c>
      <c r="C17" s="3">
        <v>13</v>
      </c>
      <c r="D17" s="3" t="s">
        <v>60</v>
      </c>
      <c r="E17" s="3" t="s">
        <v>1</v>
      </c>
      <c r="F17" s="3" t="s">
        <v>32</v>
      </c>
      <c r="G17" s="3" t="s">
        <v>40</v>
      </c>
      <c r="H17" s="3" t="s">
        <v>32</v>
      </c>
      <c r="I17" s="3" t="s">
        <v>32</v>
      </c>
    </row>
    <row r="18" customHeight="1" spans="2:9">
      <c r="B18" s="2">
        <v>51</v>
      </c>
      <c r="C18" s="3">
        <v>14</v>
      </c>
      <c r="D18" s="3" t="s">
        <v>60</v>
      </c>
      <c r="E18" s="3" t="s">
        <v>36</v>
      </c>
      <c r="F18" s="3" t="s">
        <v>32</v>
      </c>
      <c r="G18" s="3" t="s">
        <v>32</v>
      </c>
      <c r="H18" s="3" t="s">
        <v>32</v>
      </c>
      <c r="I18" s="3" t="s">
        <v>32</v>
      </c>
    </row>
    <row r="19" customHeight="1" spans="2:9">
      <c r="B19" s="2">
        <v>52</v>
      </c>
      <c r="C19" s="3">
        <v>15</v>
      </c>
      <c r="D19" s="3" t="s">
        <v>60</v>
      </c>
      <c r="E19" s="3" t="s">
        <v>37</v>
      </c>
      <c r="F19" s="3" t="s">
        <v>32</v>
      </c>
      <c r="G19" s="3" t="s">
        <v>32</v>
      </c>
      <c r="H19" s="3" t="s">
        <v>32</v>
      </c>
      <c r="I19" s="3" t="s">
        <v>32</v>
      </c>
    </row>
    <row r="20" customHeight="1" spans="2:9">
      <c r="B20" s="2">
        <v>53</v>
      </c>
      <c r="C20" s="3">
        <v>16</v>
      </c>
      <c r="D20" s="3" t="s">
        <v>60</v>
      </c>
      <c r="E20" s="3" t="s">
        <v>38</v>
      </c>
      <c r="F20" s="3" t="s">
        <v>32</v>
      </c>
      <c r="G20" s="3" t="s">
        <v>32</v>
      </c>
      <c r="H20" s="3" t="s">
        <v>32</v>
      </c>
      <c r="I20" s="3" t="s">
        <v>40</v>
      </c>
    </row>
    <row r="21" customHeight="1" spans="2:9">
      <c r="B21" s="2">
        <v>55</v>
      </c>
      <c r="C21" s="3">
        <v>17</v>
      </c>
      <c r="D21" s="3" t="s">
        <v>29</v>
      </c>
      <c r="E21" s="3" t="s">
        <v>39</v>
      </c>
      <c r="F21" s="3" t="s">
        <v>32</v>
      </c>
      <c r="G21" s="3" t="s">
        <v>40</v>
      </c>
      <c r="H21" s="3" t="s">
        <v>32</v>
      </c>
      <c r="I21" s="3" t="s">
        <v>32</v>
      </c>
    </row>
    <row r="22" customHeight="1" spans="2:9">
      <c r="B22" s="2">
        <v>56</v>
      </c>
      <c r="C22" s="3">
        <v>18</v>
      </c>
      <c r="D22" s="3" t="s">
        <v>175</v>
      </c>
      <c r="E22" s="3" t="s">
        <v>31</v>
      </c>
      <c r="F22" s="3" t="s">
        <v>32</v>
      </c>
      <c r="G22" s="3" t="s">
        <v>32</v>
      </c>
      <c r="H22" s="3" t="s">
        <v>32</v>
      </c>
      <c r="I22" s="3" t="s">
        <v>32</v>
      </c>
    </row>
  </sheetData>
  <conditionalFormatting sqref="C5:I1048576">
    <cfRule type="expression" dxfId="0" priority="1">
      <formula>MOD(ROW(),2)=0</formula>
    </cfRule>
  </conditionalFormatting>
  <dataValidations count="2">
    <dataValidation type="list" allowBlank="1" showInputMessage="1" showErrorMessage="1" sqref="F14 F15 F16:F20 G14:G15 G16:G20 H14:H20 I14:I20 F21:I1048576 F5:I13">
      <formula1>"是,否"</formula1>
    </dataValidation>
    <dataValidation type="list" allowBlank="1" showInputMessage="1" showErrorMessage="1" sqref="E5:E1048576">
      <formula1>"工作台,工作台权限设置,部门权限设置,公司数据分析,人员管理,人员权限设置,人员数据分析,工作台使用状态,工作台公式设置"</formula1>
    </dataValidation>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CZ12"/>
  <sheetViews>
    <sheetView showGridLines="0" workbookViewId="0">
      <pane ySplit="4" topLeftCell="A5" activePane="bottomLeft" state="frozen"/>
      <selection/>
      <selection pane="bottomLeft" activeCell="I9" sqref="I9"/>
    </sheetView>
  </sheetViews>
  <sheetFormatPr defaultColWidth="9" defaultRowHeight="20" customHeight="1"/>
  <cols>
    <col min="1" max="1" width="3.625" style="2" customWidth="1"/>
    <col min="2" max="2" width="3.625" style="2" hidden="1" customWidth="1"/>
    <col min="3" max="3" width="6.125" style="3" customWidth="1"/>
    <col min="4" max="4" width="20.375" style="3" customWidth="1"/>
    <col min="5" max="104" width="5.375" style="3" customWidth="1"/>
    <col min="105" max="16384" width="9" style="2"/>
  </cols>
  <sheetData>
    <row r="1" s="1" customFormat="1" ht="50" customHeight="1"/>
    <row r="2" s="1" customFormat="1" ht="40" hidden="1" customHeight="1"/>
    <row r="3" s="1" customFormat="1" ht="40" customHeight="1" spans="3:3">
      <c r="C3" s="4" t="s">
        <v>176</v>
      </c>
    </row>
    <row r="4" s="1" customFormat="1" ht="30" customHeight="1" spans="3:104">
      <c r="C4" s="5" t="s">
        <v>42</v>
      </c>
      <c r="D4" s="5" t="s">
        <v>177</v>
      </c>
      <c r="E4" s="5" t="s">
        <v>66</v>
      </c>
      <c r="F4" s="5" t="s">
        <v>67</v>
      </c>
      <c r="G4" s="5" t="s">
        <v>68</v>
      </c>
      <c r="H4" s="5" t="s">
        <v>69</v>
      </c>
      <c r="I4" s="5" t="s">
        <v>70</v>
      </c>
      <c r="J4" s="5" t="s">
        <v>71</v>
      </c>
      <c r="K4" s="5" t="s">
        <v>72</v>
      </c>
      <c r="L4" s="5" t="s">
        <v>73</v>
      </c>
      <c r="M4" s="5" t="s">
        <v>74</v>
      </c>
      <c r="N4" s="5" t="s">
        <v>75</v>
      </c>
      <c r="O4" s="5" t="s">
        <v>76</v>
      </c>
      <c r="P4" s="5" t="s">
        <v>77</v>
      </c>
      <c r="Q4" s="5" t="s">
        <v>78</v>
      </c>
      <c r="R4" s="5" t="s">
        <v>79</v>
      </c>
      <c r="S4" s="5" t="s">
        <v>80</v>
      </c>
      <c r="T4" s="5" t="s">
        <v>81</v>
      </c>
      <c r="U4" s="5" t="s">
        <v>82</v>
      </c>
      <c r="V4" s="5" t="s">
        <v>83</v>
      </c>
      <c r="W4" s="5" t="s">
        <v>84</v>
      </c>
      <c r="X4" s="5" t="s">
        <v>85</v>
      </c>
      <c r="Y4" s="5" t="s">
        <v>86</v>
      </c>
      <c r="Z4" s="5" t="s">
        <v>87</v>
      </c>
      <c r="AA4" s="5" t="s">
        <v>88</v>
      </c>
      <c r="AB4" s="5" t="s">
        <v>89</v>
      </c>
      <c r="AC4" s="5" t="s">
        <v>90</v>
      </c>
      <c r="AD4" s="5" t="s">
        <v>91</v>
      </c>
      <c r="AE4" s="5" t="s">
        <v>92</v>
      </c>
      <c r="AF4" s="5" t="s">
        <v>93</v>
      </c>
      <c r="AG4" s="5" t="s">
        <v>94</v>
      </c>
      <c r="AH4" s="5" t="s">
        <v>95</v>
      </c>
      <c r="AI4" s="5" t="s">
        <v>96</v>
      </c>
      <c r="AJ4" s="5" t="s">
        <v>97</v>
      </c>
      <c r="AK4" s="5" t="s">
        <v>98</v>
      </c>
      <c r="AL4" s="5" t="s">
        <v>99</v>
      </c>
      <c r="AM4" s="5" t="s">
        <v>100</v>
      </c>
      <c r="AN4" s="5" t="s">
        <v>101</v>
      </c>
      <c r="AO4" s="5" t="s">
        <v>102</v>
      </c>
      <c r="AP4" s="5" t="s">
        <v>103</v>
      </c>
      <c r="AQ4" s="5" t="s">
        <v>104</v>
      </c>
      <c r="AR4" s="5" t="s">
        <v>105</v>
      </c>
      <c r="AS4" s="5" t="s">
        <v>106</v>
      </c>
      <c r="AT4" s="5" t="s">
        <v>107</v>
      </c>
      <c r="AU4" s="5" t="s">
        <v>108</v>
      </c>
      <c r="AV4" s="5" t="s">
        <v>109</v>
      </c>
      <c r="AW4" s="5" t="s">
        <v>110</v>
      </c>
      <c r="AX4" s="5" t="s">
        <v>111</v>
      </c>
      <c r="AY4" s="5" t="s">
        <v>112</v>
      </c>
      <c r="AZ4" s="5" t="s">
        <v>113</v>
      </c>
      <c r="BA4" s="5" t="s">
        <v>114</v>
      </c>
      <c r="BB4" s="5" t="s">
        <v>115</v>
      </c>
      <c r="BC4" s="5" t="s">
        <v>116</v>
      </c>
      <c r="BD4" s="5" t="s">
        <v>117</v>
      </c>
      <c r="BE4" s="5" t="s">
        <v>118</v>
      </c>
      <c r="BF4" s="5" t="s">
        <v>119</v>
      </c>
      <c r="BG4" s="5" t="s">
        <v>120</v>
      </c>
      <c r="BH4" s="5" t="s">
        <v>121</v>
      </c>
      <c r="BI4" s="5" t="s">
        <v>122</v>
      </c>
      <c r="BJ4" s="5" t="s">
        <v>123</v>
      </c>
      <c r="BK4" s="5" t="s">
        <v>124</v>
      </c>
      <c r="BL4" s="5" t="s">
        <v>125</v>
      </c>
      <c r="BM4" s="5" t="s">
        <v>126</v>
      </c>
      <c r="BN4" s="5" t="s">
        <v>127</v>
      </c>
      <c r="BO4" s="5" t="s">
        <v>128</v>
      </c>
      <c r="BP4" s="5" t="s">
        <v>128</v>
      </c>
      <c r="BQ4" s="5" t="s">
        <v>129</v>
      </c>
      <c r="BR4" s="5" t="s">
        <v>130</v>
      </c>
      <c r="BS4" s="5" t="s">
        <v>131</v>
      </c>
      <c r="BT4" s="5" t="s">
        <v>132</v>
      </c>
      <c r="BU4" s="5" t="s">
        <v>133</v>
      </c>
      <c r="BV4" s="5" t="s">
        <v>134</v>
      </c>
      <c r="BW4" s="5" t="s">
        <v>135</v>
      </c>
      <c r="BX4" s="5" t="s">
        <v>136</v>
      </c>
      <c r="BY4" s="5" t="s">
        <v>137</v>
      </c>
      <c r="BZ4" s="5" t="s">
        <v>138</v>
      </c>
      <c r="CA4" s="5" t="s">
        <v>139</v>
      </c>
      <c r="CB4" s="5" t="s">
        <v>140</v>
      </c>
      <c r="CC4" s="5" t="s">
        <v>141</v>
      </c>
      <c r="CD4" s="5" t="s">
        <v>142</v>
      </c>
      <c r="CE4" s="5" t="s">
        <v>143</v>
      </c>
      <c r="CF4" s="5" t="s">
        <v>144</v>
      </c>
      <c r="CG4" s="5" t="s">
        <v>145</v>
      </c>
      <c r="CH4" s="5" t="s">
        <v>146</v>
      </c>
      <c r="CI4" s="5" t="s">
        <v>147</v>
      </c>
      <c r="CJ4" s="5" t="s">
        <v>148</v>
      </c>
      <c r="CK4" s="5" t="s">
        <v>149</v>
      </c>
      <c r="CL4" s="5" t="s">
        <v>150</v>
      </c>
      <c r="CM4" s="5" t="s">
        <v>151</v>
      </c>
      <c r="CN4" s="5" t="s">
        <v>152</v>
      </c>
      <c r="CO4" s="5" t="s">
        <v>153</v>
      </c>
      <c r="CP4" s="5" t="s">
        <v>154</v>
      </c>
      <c r="CQ4" s="5" t="s">
        <v>155</v>
      </c>
      <c r="CR4" s="5" t="s">
        <v>156</v>
      </c>
      <c r="CS4" s="5" t="s">
        <v>157</v>
      </c>
      <c r="CT4" s="5" t="s">
        <v>158</v>
      </c>
      <c r="CU4" s="5" t="s">
        <v>159</v>
      </c>
      <c r="CV4" s="5" t="s">
        <v>160</v>
      </c>
      <c r="CW4" s="5" t="s">
        <v>161</v>
      </c>
      <c r="CX4" s="5" t="s">
        <v>162</v>
      </c>
      <c r="CY4" s="5" t="s">
        <v>163</v>
      </c>
      <c r="CZ4" s="5" t="s">
        <v>164</v>
      </c>
    </row>
    <row r="5" s="2" customFormat="1" customHeight="1" spans="2:104">
      <c r="B5" s="2">
        <v>8</v>
      </c>
      <c r="C5" s="3">
        <v>1</v>
      </c>
      <c r="D5" s="3" t="s">
        <v>26</v>
      </c>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row>
    <row r="6" s="2" customFormat="1" customHeight="1" spans="3: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3: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3: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3: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3: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3: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3: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C5:K1048576">
    <cfRule type="expression" dxfId="0" priority="95">
      <formula>MOD(ROW(),2)=0</formula>
    </cfRule>
  </conditionalFormatting>
  <dataValidations count="1">
    <dataValidation allowBlank="1" showInputMessage="1" showErrorMessage="1" sqref="E5:CZ1048576"/>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CZ12"/>
  <sheetViews>
    <sheetView showGridLines="0" workbookViewId="0">
      <selection activeCell="M12" sqref="M12"/>
    </sheetView>
  </sheetViews>
  <sheetFormatPr defaultColWidth="9" defaultRowHeight="20" customHeight="1"/>
  <cols>
    <col min="1" max="1" width="3.625" style="2" customWidth="1"/>
    <col min="2" max="2" width="3.625" style="2" hidden="1" customWidth="1"/>
    <col min="3" max="3" width="6.125" style="3" customWidth="1"/>
    <col min="4" max="4" width="19.875" style="3" customWidth="1"/>
    <col min="5" max="104" width="5.375" style="3" customWidth="1"/>
    <col min="105" max="16384" width="9" style="2"/>
  </cols>
  <sheetData>
    <row r="1" s="1" customFormat="1" ht="50" customHeight="1"/>
    <row r="2" s="1" customFormat="1" ht="40" hidden="1" customHeight="1"/>
    <row r="3" s="1" customFormat="1" ht="40" customHeight="1" spans="3:3">
      <c r="C3" s="4" t="s">
        <v>178</v>
      </c>
    </row>
    <row r="4" s="1" customFormat="1" ht="30" customHeight="1" spans="3:104">
      <c r="C4" s="5" t="s">
        <v>42</v>
      </c>
      <c r="D4" s="5" t="s">
        <v>177</v>
      </c>
      <c r="E4" s="5" t="s">
        <v>66</v>
      </c>
      <c r="F4" s="5" t="s">
        <v>67</v>
      </c>
      <c r="G4" s="5" t="s">
        <v>68</v>
      </c>
      <c r="H4" s="5" t="s">
        <v>69</v>
      </c>
      <c r="I4" s="5" t="s">
        <v>70</v>
      </c>
      <c r="J4" s="5" t="s">
        <v>71</v>
      </c>
      <c r="K4" s="5" t="s">
        <v>72</v>
      </c>
      <c r="L4" s="5" t="s">
        <v>73</v>
      </c>
      <c r="M4" s="5" t="s">
        <v>74</v>
      </c>
      <c r="N4" s="5" t="s">
        <v>75</v>
      </c>
      <c r="O4" s="5" t="s">
        <v>76</v>
      </c>
      <c r="P4" s="5" t="s">
        <v>77</v>
      </c>
      <c r="Q4" s="5" t="s">
        <v>78</v>
      </c>
      <c r="R4" s="5" t="s">
        <v>79</v>
      </c>
      <c r="S4" s="5" t="s">
        <v>80</v>
      </c>
      <c r="T4" s="5" t="s">
        <v>81</v>
      </c>
      <c r="U4" s="5" t="s">
        <v>82</v>
      </c>
      <c r="V4" s="5" t="s">
        <v>83</v>
      </c>
      <c r="W4" s="5" t="s">
        <v>84</v>
      </c>
      <c r="X4" s="5" t="s">
        <v>85</v>
      </c>
      <c r="Y4" s="5" t="s">
        <v>86</v>
      </c>
      <c r="Z4" s="5" t="s">
        <v>87</v>
      </c>
      <c r="AA4" s="5" t="s">
        <v>88</v>
      </c>
      <c r="AB4" s="5" t="s">
        <v>89</v>
      </c>
      <c r="AC4" s="5" t="s">
        <v>90</v>
      </c>
      <c r="AD4" s="5" t="s">
        <v>91</v>
      </c>
      <c r="AE4" s="5" t="s">
        <v>92</v>
      </c>
      <c r="AF4" s="5" t="s">
        <v>93</v>
      </c>
      <c r="AG4" s="5" t="s">
        <v>94</v>
      </c>
      <c r="AH4" s="5" t="s">
        <v>95</v>
      </c>
      <c r="AI4" s="5" t="s">
        <v>96</v>
      </c>
      <c r="AJ4" s="5" t="s">
        <v>97</v>
      </c>
      <c r="AK4" s="5" t="s">
        <v>98</v>
      </c>
      <c r="AL4" s="5" t="s">
        <v>99</v>
      </c>
      <c r="AM4" s="5" t="s">
        <v>100</v>
      </c>
      <c r="AN4" s="5" t="s">
        <v>101</v>
      </c>
      <c r="AO4" s="5" t="s">
        <v>102</v>
      </c>
      <c r="AP4" s="5" t="s">
        <v>103</v>
      </c>
      <c r="AQ4" s="5" t="s">
        <v>104</v>
      </c>
      <c r="AR4" s="5" t="s">
        <v>105</v>
      </c>
      <c r="AS4" s="5" t="s">
        <v>106</v>
      </c>
      <c r="AT4" s="5" t="s">
        <v>107</v>
      </c>
      <c r="AU4" s="5" t="s">
        <v>108</v>
      </c>
      <c r="AV4" s="5" t="s">
        <v>109</v>
      </c>
      <c r="AW4" s="5" t="s">
        <v>110</v>
      </c>
      <c r="AX4" s="5" t="s">
        <v>111</v>
      </c>
      <c r="AY4" s="5" t="s">
        <v>112</v>
      </c>
      <c r="AZ4" s="5" t="s">
        <v>113</v>
      </c>
      <c r="BA4" s="5" t="s">
        <v>114</v>
      </c>
      <c r="BB4" s="5" t="s">
        <v>115</v>
      </c>
      <c r="BC4" s="5" t="s">
        <v>116</v>
      </c>
      <c r="BD4" s="5" t="s">
        <v>117</v>
      </c>
      <c r="BE4" s="5" t="s">
        <v>118</v>
      </c>
      <c r="BF4" s="5" t="s">
        <v>119</v>
      </c>
      <c r="BG4" s="5" t="s">
        <v>120</v>
      </c>
      <c r="BH4" s="5" t="s">
        <v>121</v>
      </c>
      <c r="BI4" s="5" t="s">
        <v>122</v>
      </c>
      <c r="BJ4" s="5" t="s">
        <v>123</v>
      </c>
      <c r="BK4" s="5" t="s">
        <v>124</v>
      </c>
      <c r="BL4" s="5" t="s">
        <v>125</v>
      </c>
      <c r="BM4" s="5" t="s">
        <v>126</v>
      </c>
      <c r="BN4" s="5" t="s">
        <v>127</v>
      </c>
      <c r="BO4" s="5" t="s">
        <v>128</v>
      </c>
      <c r="BP4" s="5" t="s">
        <v>128</v>
      </c>
      <c r="BQ4" s="5" t="s">
        <v>129</v>
      </c>
      <c r="BR4" s="5" t="s">
        <v>130</v>
      </c>
      <c r="BS4" s="5" t="s">
        <v>131</v>
      </c>
      <c r="BT4" s="5" t="s">
        <v>132</v>
      </c>
      <c r="BU4" s="5" t="s">
        <v>133</v>
      </c>
      <c r="BV4" s="5" t="s">
        <v>134</v>
      </c>
      <c r="BW4" s="5" t="s">
        <v>135</v>
      </c>
      <c r="BX4" s="5" t="s">
        <v>136</v>
      </c>
      <c r="BY4" s="5" t="s">
        <v>137</v>
      </c>
      <c r="BZ4" s="5" t="s">
        <v>138</v>
      </c>
      <c r="CA4" s="5" t="s">
        <v>139</v>
      </c>
      <c r="CB4" s="5" t="s">
        <v>140</v>
      </c>
      <c r="CC4" s="5" t="s">
        <v>141</v>
      </c>
      <c r="CD4" s="5" t="s">
        <v>142</v>
      </c>
      <c r="CE4" s="5" t="s">
        <v>143</v>
      </c>
      <c r="CF4" s="5" t="s">
        <v>144</v>
      </c>
      <c r="CG4" s="5" t="s">
        <v>145</v>
      </c>
      <c r="CH4" s="5" t="s">
        <v>146</v>
      </c>
      <c r="CI4" s="5" t="s">
        <v>147</v>
      </c>
      <c r="CJ4" s="5" t="s">
        <v>148</v>
      </c>
      <c r="CK4" s="5" t="s">
        <v>149</v>
      </c>
      <c r="CL4" s="5" t="s">
        <v>150</v>
      </c>
      <c r="CM4" s="5" t="s">
        <v>151</v>
      </c>
      <c r="CN4" s="5" t="s">
        <v>152</v>
      </c>
      <c r="CO4" s="5" t="s">
        <v>153</v>
      </c>
      <c r="CP4" s="5" t="s">
        <v>154</v>
      </c>
      <c r="CQ4" s="5" t="s">
        <v>155</v>
      </c>
      <c r="CR4" s="5" t="s">
        <v>156</v>
      </c>
      <c r="CS4" s="5" t="s">
        <v>157</v>
      </c>
      <c r="CT4" s="5" t="s">
        <v>158</v>
      </c>
      <c r="CU4" s="5" t="s">
        <v>159</v>
      </c>
      <c r="CV4" s="5" t="s">
        <v>160</v>
      </c>
      <c r="CW4" s="5" t="s">
        <v>161</v>
      </c>
      <c r="CX4" s="5" t="s">
        <v>162</v>
      </c>
      <c r="CY4" s="5" t="s">
        <v>163</v>
      </c>
      <c r="CZ4" s="5" t="s">
        <v>164</v>
      </c>
    </row>
    <row r="5" s="2" customFormat="1" customHeight="1" spans="2:104">
      <c r="B5" s="2">
        <v>2</v>
      </c>
      <c r="C5" s="3">
        <v>1</v>
      </c>
      <c r="D5" s="3" t="s">
        <v>26</v>
      </c>
      <c r="E5" s="3" t="s">
        <v>166</v>
      </c>
      <c r="F5" s="3" t="s">
        <v>166</v>
      </c>
      <c r="G5" s="3" t="s">
        <v>166</v>
      </c>
      <c r="H5" s="3" t="s">
        <v>166</v>
      </c>
      <c r="I5" s="3" t="s">
        <v>166</v>
      </c>
      <c r="J5" s="3" t="s">
        <v>166</v>
      </c>
      <c r="K5" s="3" t="s">
        <v>166</v>
      </c>
      <c r="L5" s="3" t="s">
        <v>166</v>
      </c>
      <c r="M5" s="3" t="s">
        <v>166</v>
      </c>
      <c r="N5" s="3" t="s">
        <v>166</v>
      </c>
      <c r="O5" s="3" t="s">
        <v>166</v>
      </c>
      <c r="P5" s="3" t="s">
        <v>166</v>
      </c>
      <c r="Q5" s="3" t="s">
        <v>166</v>
      </c>
      <c r="R5" s="3" t="s">
        <v>166</v>
      </c>
      <c r="S5" s="3" t="s">
        <v>166</v>
      </c>
      <c r="T5" s="3" t="s">
        <v>166</v>
      </c>
      <c r="U5" s="3" t="s">
        <v>166</v>
      </c>
      <c r="V5" s="3" t="s">
        <v>166</v>
      </c>
      <c r="W5" s="3" t="s">
        <v>166</v>
      </c>
      <c r="X5" s="3" t="s">
        <v>166</v>
      </c>
      <c r="Y5" s="3" t="s">
        <v>166</v>
      </c>
      <c r="Z5" s="3" t="s">
        <v>166</v>
      </c>
      <c r="AA5" s="3" t="s">
        <v>166</v>
      </c>
      <c r="AB5" s="3" t="s">
        <v>166</v>
      </c>
      <c r="AC5" s="3" t="s">
        <v>166</v>
      </c>
      <c r="AD5" s="3" t="s">
        <v>166</v>
      </c>
      <c r="AE5" s="3" t="s">
        <v>166</v>
      </c>
      <c r="AF5" s="3" t="s">
        <v>166</v>
      </c>
      <c r="AG5" s="3" t="s">
        <v>166</v>
      </c>
      <c r="AH5" s="3" t="s">
        <v>166</v>
      </c>
      <c r="AI5" s="3" t="s">
        <v>166</v>
      </c>
      <c r="AJ5" s="3" t="s">
        <v>166</v>
      </c>
      <c r="AK5" s="3" t="s">
        <v>166</v>
      </c>
      <c r="AL5" s="3" t="s">
        <v>166</v>
      </c>
      <c r="AM5" s="3" t="s">
        <v>166</v>
      </c>
      <c r="AN5" s="3" t="s">
        <v>166</v>
      </c>
      <c r="AO5" s="3" t="s">
        <v>166</v>
      </c>
      <c r="AP5" s="3" t="s">
        <v>166</v>
      </c>
      <c r="AQ5" s="3" t="s">
        <v>166</v>
      </c>
      <c r="AR5" s="3" t="s">
        <v>166</v>
      </c>
      <c r="AS5" s="3" t="s">
        <v>166</v>
      </c>
      <c r="AT5" s="3" t="s">
        <v>166</v>
      </c>
      <c r="AU5" s="3" t="s">
        <v>166</v>
      </c>
      <c r="AV5" s="3" t="s">
        <v>166</v>
      </c>
      <c r="AW5" s="3" t="s">
        <v>166</v>
      </c>
      <c r="AX5" s="3" t="s">
        <v>166</v>
      </c>
      <c r="AY5" s="3" t="s">
        <v>166</v>
      </c>
      <c r="AZ5" s="3" t="s">
        <v>166</v>
      </c>
      <c r="BA5" s="3" t="s">
        <v>166</v>
      </c>
      <c r="BB5" s="3" t="s">
        <v>166</v>
      </c>
      <c r="BC5" s="3" t="s">
        <v>166</v>
      </c>
      <c r="BD5" s="3" t="s">
        <v>166</v>
      </c>
      <c r="BE5" s="3" t="s">
        <v>166</v>
      </c>
      <c r="BF5" s="3" t="s">
        <v>166</v>
      </c>
      <c r="BG5" s="3" t="s">
        <v>166</v>
      </c>
      <c r="BH5" s="3" t="s">
        <v>166</v>
      </c>
      <c r="BI5" s="3" t="s">
        <v>166</v>
      </c>
      <c r="BJ5" s="3" t="s">
        <v>166</v>
      </c>
      <c r="BK5" s="3" t="s">
        <v>166</v>
      </c>
      <c r="BL5" s="3" t="s">
        <v>166</v>
      </c>
      <c r="BM5" s="3" t="s">
        <v>166</v>
      </c>
      <c r="BN5" s="3" t="s">
        <v>166</v>
      </c>
      <c r="BO5" s="3" t="s">
        <v>166</v>
      </c>
      <c r="BP5" s="3" t="s">
        <v>166</v>
      </c>
      <c r="BQ5" s="3" t="s">
        <v>166</v>
      </c>
      <c r="BR5" s="3" t="s">
        <v>166</v>
      </c>
      <c r="BS5" s="3" t="s">
        <v>166</v>
      </c>
      <c r="BT5" s="3" t="s">
        <v>166</v>
      </c>
      <c r="BU5" s="3" t="s">
        <v>166</v>
      </c>
      <c r="BV5" s="3" t="s">
        <v>166</v>
      </c>
      <c r="BW5" s="3" t="s">
        <v>166</v>
      </c>
      <c r="BX5" s="3" t="s">
        <v>166</v>
      </c>
      <c r="BY5" s="3" t="s">
        <v>166</v>
      </c>
      <c r="BZ5" s="3" t="s">
        <v>166</v>
      </c>
      <c r="CA5" s="3" t="s">
        <v>166</v>
      </c>
      <c r="CB5" s="3" t="s">
        <v>166</v>
      </c>
      <c r="CC5" s="3" t="s">
        <v>166</v>
      </c>
      <c r="CD5" s="3" t="s">
        <v>166</v>
      </c>
      <c r="CE5" s="3" t="s">
        <v>166</v>
      </c>
      <c r="CF5" s="3" t="s">
        <v>166</v>
      </c>
      <c r="CG5" s="3" t="s">
        <v>166</v>
      </c>
      <c r="CH5" s="3" t="s">
        <v>166</v>
      </c>
      <c r="CI5" s="3" t="s">
        <v>166</v>
      </c>
      <c r="CJ5" s="3" t="s">
        <v>166</v>
      </c>
      <c r="CK5" s="3" t="s">
        <v>166</v>
      </c>
      <c r="CL5" s="3" t="s">
        <v>166</v>
      </c>
      <c r="CM5" s="3" t="s">
        <v>166</v>
      </c>
      <c r="CN5" s="3" t="s">
        <v>166</v>
      </c>
      <c r="CO5" s="3" t="s">
        <v>166</v>
      </c>
      <c r="CP5" s="3" t="s">
        <v>166</v>
      </c>
      <c r="CQ5" s="3" t="s">
        <v>166</v>
      </c>
      <c r="CR5" s="3" t="s">
        <v>166</v>
      </c>
      <c r="CS5" s="3" t="s">
        <v>166</v>
      </c>
      <c r="CT5" s="3" t="s">
        <v>166</v>
      </c>
      <c r="CU5" s="3" t="s">
        <v>166</v>
      </c>
      <c r="CV5" s="3" t="s">
        <v>166</v>
      </c>
      <c r="CW5" s="3" t="s">
        <v>166</v>
      </c>
      <c r="CX5" s="3" t="s">
        <v>166</v>
      </c>
      <c r="CY5" s="3" t="s">
        <v>166</v>
      </c>
      <c r="CZ5" s="3" t="s">
        <v>166</v>
      </c>
    </row>
    <row r="6" s="2" customFormat="1" customHeight="1" spans="3: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3: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3: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3: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3: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3: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3: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3">
      <formula>MOD(ROW(),2)=0</formula>
    </cfRule>
  </conditionalFormatting>
  <conditionalFormatting sqref="M5:M1048576">
    <cfRule type="expression" dxfId="0" priority="92">
      <formula>MOD(ROW(),2)=0</formula>
    </cfRule>
  </conditionalFormatting>
  <conditionalFormatting sqref="N5:N1048576">
    <cfRule type="expression" dxfId="0" priority="91">
      <formula>MOD(ROW(),2)=0</formula>
    </cfRule>
  </conditionalFormatting>
  <conditionalFormatting sqref="O5:O1048576">
    <cfRule type="expression" dxfId="0" priority="90">
      <formula>MOD(ROW(),2)=0</formula>
    </cfRule>
  </conditionalFormatting>
  <conditionalFormatting sqref="P5:P1048576">
    <cfRule type="expression" dxfId="0" priority="89">
      <formula>MOD(ROW(),2)=0</formula>
    </cfRule>
  </conditionalFormatting>
  <conditionalFormatting sqref="Q5:Q1048576">
    <cfRule type="expression" dxfId="0" priority="88">
      <formula>MOD(ROW(),2)=0</formula>
    </cfRule>
  </conditionalFormatting>
  <conditionalFormatting sqref="R5:R1048576">
    <cfRule type="expression" dxfId="0" priority="87">
      <formula>MOD(ROW(),2)=0</formula>
    </cfRule>
  </conditionalFormatting>
  <conditionalFormatting sqref="S5:S1048576">
    <cfRule type="expression" dxfId="0" priority="86">
      <formula>MOD(ROW(),2)=0</formula>
    </cfRule>
  </conditionalFormatting>
  <conditionalFormatting sqref="T5:T1048576">
    <cfRule type="expression" dxfId="0" priority="85">
      <formula>MOD(ROW(),2)=0</formula>
    </cfRule>
  </conditionalFormatting>
  <conditionalFormatting sqref="U5:U1048576">
    <cfRule type="expression" dxfId="0" priority="84">
      <formula>MOD(ROW(),2)=0</formula>
    </cfRule>
  </conditionalFormatting>
  <conditionalFormatting sqref="V5:V1048576">
    <cfRule type="expression" dxfId="0" priority="83">
      <formula>MOD(ROW(),2)=0</formula>
    </cfRule>
  </conditionalFormatting>
  <conditionalFormatting sqref="W5:W1048576">
    <cfRule type="expression" dxfId="0" priority="82">
      <formula>MOD(ROW(),2)=0</formula>
    </cfRule>
  </conditionalFormatting>
  <conditionalFormatting sqref="X5:X1048576">
    <cfRule type="expression" dxfId="0" priority="81">
      <formula>MOD(ROW(),2)=0</formula>
    </cfRule>
  </conditionalFormatting>
  <conditionalFormatting sqref="Y5:Y1048576">
    <cfRule type="expression" dxfId="0" priority="80">
      <formula>MOD(ROW(),2)=0</formula>
    </cfRule>
  </conditionalFormatting>
  <conditionalFormatting sqref="Z5:Z1048576">
    <cfRule type="expression" dxfId="0" priority="79">
      <formula>MOD(ROW(),2)=0</formula>
    </cfRule>
  </conditionalFormatting>
  <conditionalFormatting sqref="AA5:AA1048576">
    <cfRule type="expression" dxfId="0" priority="78">
      <formula>MOD(ROW(),2)=0</formula>
    </cfRule>
  </conditionalFormatting>
  <conditionalFormatting sqref="AB5:AB1048576">
    <cfRule type="expression" dxfId="0" priority="77">
      <formula>MOD(ROW(),2)=0</formula>
    </cfRule>
  </conditionalFormatting>
  <conditionalFormatting sqref="AC5:AC1048576">
    <cfRule type="expression" dxfId="0" priority="76">
      <formula>MOD(ROW(),2)=0</formula>
    </cfRule>
  </conditionalFormatting>
  <conditionalFormatting sqref="AD5:AD1048576">
    <cfRule type="expression" dxfId="0" priority="75">
      <formula>MOD(ROW(),2)=0</formula>
    </cfRule>
  </conditionalFormatting>
  <conditionalFormatting sqref="AE5:AE1048576">
    <cfRule type="expression" dxfId="0" priority="74">
      <formula>MOD(ROW(),2)=0</formula>
    </cfRule>
  </conditionalFormatting>
  <conditionalFormatting sqref="AF5:AF1048576">
    <cfRule type="expression" dxfId="0" priority="73">
      <formula>MOD(ROW(),2)=0</formula>
    </cfRule>
  </conditionalFormatting>
  <conditionalFormatting sqref="AG5:AG1048576">
    <cfRule type="expression" dxfId="0" priority="72">
      <formula>MOD(ROW(),2)=0</formula>
    </cfRule>
  </conditionalFormatting>
  <conditionalFormatting sqref="AH5:AH1048576">
    <cfRule type="expression" dxfId="0" priority="71">
      <formula>MOD(ROW(),2)=0</formula>
    </cfRule>
  </conditionalFormatting>
  <conditionalFormatting sqref="AI5:AI1048576">
    <cfRule type="expression" dxfId="0" priority="70">
      <formula>MOD(ROW(),2)=0</formula>
    </cfRule>
  </conditionalFormatting>
  <conditionalFormatting sqref="AJ5:AJ1048576">
    <cfRule type="expression" dxfId="0" priority="69">
      <formula>MOD(ROW(),2)=0</formula>
    </cfRule>
  </conditionalFormatting>
  <conditionalFormatting sqref="AK5:AK1048576">
    <cfRule type="expression" dxfId="0" priority="68">
      <formula>MOD(ROW(),2)=0</formula>
    </cfRule>
  </conditionalFormatting>
  <conditionalFormatting sqref="AL5:AL1048576">
    <cfRule type="expression" dxfId="0" priority="67">
      <formula>MOD(ROW(),2)=0</formula>
    </cfRule>
  </conditionalFormatting>
  <conditionalFormatting sqref="AM5:AM1048576">
    <cfRule type="expression" dxfId="0" priority="66">
      <formula>MOD(ROW(),2)=0</formula>
    </cfRule>
  </conditionalFormatting>
  <conditionalFormatting sqref="AN5:AN1048576">
    <cfRule type="expression" dxfId="0" priority="65">
      <formula>MOD(ROW(),2)=0</formula>
    </cfRule>
  </conditionalFormatting>
  <conditionalFormatting sqref="AO5:AO1048576">
    <cfRule type="expression" dxfId="0" priority="64">
      <formula>MOD(ROW(),2)=0</formula>
    </cfRule>
  </conditionalFormatting>
  <conditionalFormatting sqref="AP5:AP1048576">
    <cfRule type="expression" dxfId="0" priority="63">
      <formula>MOD(ROW(),2)=0</formula>
    </cfRule>
  </conditionalFormatting>
  <conditionalFormatting sqref="AQ5:AQ1048576">
    <cfRule type="expression" dxfId="0" priority="62">
      <formula>MOD(ROW(),2)=0</formula>
    </cfRule>
  </conditionalFormatting>
  <conditionalFormatting sqref="AR5:AR1048576">
    <cfRule type="expression" dxfId="0" priority="61">
      <formula>MOD(ROW(),2)=0</formula>
    </cfRule>
  </conditionalFormatting>
  <conditionalFormatting sqref="AS5:AS1048576">
    <cfRule type="expression" dxfId="0" priority="60">
      <formula>MOD(ROW(),2)=0</formula>
    </cfRule>
  </conditionalFormatting>
  <conditionalFormatting sqref="AT5:AT1048576">
    <cfRule type="expression" dxfId="0" priority="59">
      <formula>MOD(ROW(),2)=0</formula>
    </cfRule>
  </conditionalFormatting>
  <conditionalFormatting sqref="AU5:AU1048576">
    <cfRule type="expression" dxfId="0" priority="58">
      <formula>MOD(ROW(),2)=0</formula>
    </cfRule>
  </conditionalFormatting>
  <conditionalFormatting sqref="AV5:AV1048576">
    <cfRule type="expression" dxfId="0" priority="57">
      <formula>MOD(ROW(),2)=0</formula>
    </cfRule>
  </conditionalFormatting>
  <conditionalFormatting sqref="AW5:AW1048576">
    <cfRule type="expression" dxfId="0" priority="56">
      <formula>MOD(ROW(),2)=0</formula>
    </cfRule>
  </conditionalFormatting>
  <conditionalFormatting sqref="AX5:AX1048576">
    <cfRule type="expression" dxfId="0" priority="55">
      <formula>MOD(ROW(),2)=0</formula>
    </cfRule>
  </conditionalFormatting>
  <conditionalFormatting sqref="AY5:AY1048576">
    <cfRule type="expression" dxfId="0" priority="54">
      <formula>MOD(ROW(),2)=0</formula>
    </cfRule>
  </conditionalFormatting>
  <conditionalFormatting sqref="AZ5:AZ1048576">
    <cfRule type="expression" dxfId="0" priority="53">
      <formula>MOD(ROW(),2)=0</formula>
    </cfRule>
  </conditionalFormatting>
  <conditionalFormatting sqref="BA5:BA1048576">
    <cfRule type="expression" dxfId="0" priority="52">
      <formula>MOD(ROW(),2)=0</formula>
    </cfRule>
  </conditionalFormatting>
  <conditionalFormatting sqref="BB5:BB1048576">
    <cfRule type="expression" dxfId="0" priority="51">
      <formula>MOD(ROW(),2)=0</formula>
    </cfRule>
  </conditionalFormatting>
  <conditionalFormatting sqref="BC5:BC1048576">
    <cfRule type="expression" dxfId="0" priority="50">
      <formula>MOD(ROW(),2)=0</formula>
    </cfRule>
  </conditionalFormatting>
  <conditionalFormatting sqref="BD5:BD1048576">
    <cfRule type="expression" dxfId="0" priority="49">
      <formula>MOD(ROW(),2)=0</formula>
    </cfRule>
  </conditionalFormatting>
  <conditionalFormatting sqref="BE5:BE1048576">
    <cfRule type="expression" dxfId="0" priority="48">
      <formula>MOD(ROW(),2)=0</formula>
    </cfRule>
  </conditionalFormatting>
  <conditionalFormatting sqref="BF5:BF1048576">
    <cfRule type="expression" dxfId="0" priority="47">
      <formula>MOD(ROW(),2)=0</formula>
    </cfRule>
  </conditionalFormatting>
  <conditionalFormatting sqref="BG5:BG1048576">
    <cfRule type="expression" dxfId="0" priority="46">
      <formula>MOD(ROW(),2)=0</formula>
    </cfRule>
  </conditionalFormatting>
  <conditionalFormatting sqref="BH5:BH1048576">
    <cfRule type="expression" dxfId="0" priority="45">
      <formula>MOD(ROW(),2)=0</formula>
    </cfRule>
  </conditionalFormatting>
  <conditionalFormatting sqref="BI5:BI1048576">
    <cfRule type="expression" dxfId="0" priority="44">
      <formula>MOD(ROW(),2)=0</formula>
    </cfRule>
  </conditionalFormatting>
  <conditionalFormatting sqref="BJ5:BJ1048576">
    <cfRule type="expression" dxfId="0" priority="43">
      <formula>MOD(ROW(),2)=0</formula>
    </cfRule>
  </conditionalFormatting>
  <conditionalFormatting sqref="BK5:BK1048576">
    <cfRule type="expression" dxfId="0" priority="42">
      <formula>MOD(ROW(),2)=0</formula>
    </cfRule>
  </conditionalFormatting>
  <conditionalFormatting sqref="BL5:BL1048576">
    <cfRule type="expression" dxfId="0" priority="41">
      <formula>MOD(ROW(),2)=0</formula>
    </cfRule>
  </conditionalFormatting>
  <conditionalFormatting sqref="BM5:BM1048576">
    <cfRule type="expression" dxfId="0" priority="40">
      <formula>MOD(ROW(),2)=0</formula>
    </cfRule>
  </conditionalFormatting>
  <conditionalFormatting sqref="BN5:BN1048576">
    <cfRule type="expression" dxfId="0" priority="39">
      <formula>MOD(ROW(),2)=0</formula>
    </cfRule>
  </conditionalFormatting>
  <conditionalFormatting sqref="BO5:BO1048576">
    <cfRule type="expression" dxfId="0" priority="38">
      <formula>MOD(ROW(),2)=0</formula>
    </cfRule>
  </conditionalFormatting>
  <conditionalFormatting sqref="BP5:BP1048576">
    <cfRule type="expression" dxfId="0" priority="37">
      <formula>MOD(ROW(),2)=0</formula>
    </cfRule>
  </conditionalFormatting>
  <conditionalFormatting sqref="BQ5:BQ1048576">
    <cfRule type="expression" dxfId="0" priority="36">
      <formula>MOD(ROW(),2)=0</formula>
    </cfRule>
  </conditionalFormatting>
  <conditionalFormatting sqref="BR5:BR1048576">
    <cfRule type="expression" dxfId="0" priority="35">
      <formula>MOD(ROW(),2)=0</formula>
    </cfRule>
  </conditionalFormatting>
  <conditionalFormatting sqref="BS5:BS1048576">
    <cfRule type="expression" dxfId="0" priority="34">
      <formula>MOD(ROW(),2)=0</formula>
    </cfRule>
  </conditionalFormatting>
  <conditionalFormatting sqref="BT5:BT1048576">
    <cfRule type="expression" dxfId="0" priority="33">
      <formula>MOD(ROW(),2)=0</formula>
    </cfRule>
  </conditionalFormatting>
  <conditionalFormatting sqref="BU5:BU1048576">
    <cfRule type="expression" dxfId="0" priority="32">
      <formula>MOD(ROW(),2)=0</formula>
    </cfRule>
  </conditionalFormatting>
  <conditionalFormatting sqref="BV5:BV1048576">
    <cfRule type="expression" dxfId="0" priority="31">
      <formula>MOD(ROW(),2)=0</formula>
    </cfRule>
  </conditionalFormatting>
  <conditionalFormatting sqref="BW5:BW1048576">
    <cfRule type="expression" dxfId="0" priority="30">
      <formula>MOD(ROW(),2)=0</formula>
    </cfRule>
  </conditionalFormatting>
  <conditionalFormatting sqref="BX5:BX1048576">
    <cfRule type="expression" dxfId="0" priority="29">
      <formula>MOD(ROW(),2)=0</formula>
    </cfRule>
  </conditionalFormatting>
  <conditionalFormatting sqref="BY5:BY1048576">
    <cfRule type="expression" dxfId="0" priority="28">
      <formula>MOD(ROW(),2)=0</formula>
    </cfRule>
  </conditionalFormatting>
  <conditionalFormatting sqref="BZ5:BZ1048576">
    <cfRule type="expression" dxfId="0" priority="27">
      <formula>MOD(ROW(),2)=0</formula>
    </cfRule>
  </conditionalFormatting>
  <conditionalFormatting sqref="CA5:CA1048576">
    <cfRule type="expression" dxfId="0" priority="26">
      <formula>MOD(ROW(),2)=0</formula>
    </cfRule>
  </conditionalFormatting>
  <conditionalFormatting sqref="CB5:CB1048576">
    <cfRule type="expression" dxfId="0" priority="25">
      <formula>MOD(ROW(),2)=0</formula>
    </cfRule>
  </conditionalFormatting>
  <conditionalFormatting sqref="CC5:CC1048576">
    <cfRule type="expression" dxfId="0" priority="24">
      <formula>MOD(ROW(),2)=0</formula>
    </cfRule>
  </conditionalFormatting>
  <conditionalFormatting sqref="CD5:CD1048576">
    <cfRule type="expression" dxfId="0" priority="23">
      <formula>MOD(ROW(),2)=0</formula>
    </cfRule>
  </conditionalFormatting>
  <conditionalFormatting sqref="CE5:CE1048576">
    <cfRule type="expression" dxfId="0" priority="22">
      <formula>MOD(ROW(),2)=0</formula>
    </cfRule>
  </conditionalFormatting>
  <conditionalFormatting sqref="CF5:CF1048576">
    <cfRule type="expression" dxfId="0" priority="21">
      <formula>MOD(ROW(),2)=0</formula>
    </cfRule>
  </conditionalFormatting>
  <conditionalFormatting sqref="CG5:CG1048576">
    <cfRule type="expression" dxfId="0" priority="20">
      <formula>MOD(ROW(),2)=0</formula>
    </cfRule>
  </conditionalFormatting>
  <conditionalFormatting sqref="CH5:CH1048576">
    <cfRule type="expression" dxfId="0" priority="19">
      <formula>MOD(ROW(),2)=0</formula>
    </cfRule>
  </conditionalFormatting>
  <conditionalFormatting sqref="CI5:CI1048576">
    <cfRule type="expression" dxfId="0" priority="18">
      <formula>MOD(ROW(),2)=0</formula>
    </cfRule>
  </conditionalFormatting>
  <conditionalFormatting sqref="CJ5:CJ1048576">
    <cfRule type="expression" dxfId="0" priority="17">
      <formula>MOD(ROW(),2)=0</formula>
    </cfRule>
  </conditionalFormatting>
  <conditionalFormatting sqref="CK5:CK1048576">
    <cfRule type="expression" dxfId="0" priority="16">
      <formula>MOD(ROW(),2)=0</formula>
    </cfRule>
  </conditionalFormatting>
  <conditionalFormatting sqref="CL5:CL1048576">
    <cfRule type="expression" dxfId="0" priority="15">
      <formula>MOD(ROW(),2)=0</formula>
    </cfRule>
  </conditionalFormatting>
  <conditionalFormatting sqref="CM5:CM1048576">
    <cfRule type="expression" dxfId="0" priority="14">
      <formula>MOD(ROW(),2)=0</formula>
    </cfRule>
  </conditionalFormatting>
  <conditionalFormatting sqref="CN5:CN1048576">
    <cfRule type="expression" dxfId="0" priority="13">
      <formula>MOD(ROW(),2)=0</formula>
    </cfRule>
  </conditionalFormatting>
  <conditionalFormatting sqref="CO5:CO1048576">
    <cfRule type="expression" dxfId="0" priority="12">
      <formula>MOD(ROW(),2)=0</formula>
    </cfRule>
  </conditionalFormatting>
  <conditionalFormatting sqref="CP5:CP1048576">
    <cfRule type="expression" dxfId="0" priority="11">
      <formula>MOD(ROW(),2)=0</formula>
    </cfRule>
  </conditionalFormatting>
  <conditionalFormatting sqref="CQ5:CQ1048576">
    <cfRule type="expression" dxfId="0" priority="10">
      <formula>MOD(ROW(),2)=0</formula>
    </cfRule>
  </conditionalFormatting>
  <conditionalFormatting sqref="CR5:CR1048576">
    <cfRule type="expression" dxfId="0" priority="9">
      <formula>MOD(ROW(),2)=0</formula>
    </cfRule>
  </conditionalFormatting>
  <conditionalFormatting sqref="CS5:CS1048576">
    <cfRule type="expression" dxfId="0" priority="8">
      <formula>MOD(ROW(),2)=0</formula>
    </cfRule>
  </conditionalFormatting>
  <conditionalFormatting sqref="CT5:CT1048576">
    <cfRule type="expression" dxfId="0" priority="7">
      <formula>MOD(ROW(),2)=0</formula>
    </cfRule>
  </conditionalFormatting>
  <conditionalFormatting sqref="CU5:CU1048576">
    <cfRule type="expression" dxfId="0" priority="6">
      <formula>MOD(ROW(),2)=0</formula>
    </cfRule>
  </conditionalFormatting>
  <conditionalFormatting sqref="CV5:CV1048576">
    <cfRule type="expression" dxfId="0" priority="5">
      <formula>MOD(ROW(),2)=0</formula>
    </cfRule>
  </conditionalFormatting>
  <conditionalFormatting sqref="CW5:CW1048576">
    <cfRule type="expression" dxfId="0" priority="4">
      <formula>MOD(ROW(),2)=0</formula>
    </cfRule>
  </conditionalFormatting>
  <conditionalFormatting sqref="CX5:CX1048576">
    <cfRule type="expression" dxfId="0" priority="3">
      <formula>MOD(ROW(),2)=0</formula>
    </cfRule>
  </conditionalFormatting>
  <conditionalFormatting sqref="CY5:CY1048576">
    <cfRule type="expression" dxfId="0" priority="2">
      <formula>MOD(ROW(),2)=0</formula>
    </cfRule>
  </conditionalFormatting>
  <conditionalFormatting sqref="CZ5:CZ1048576">
    <cfRule type="expression" dxfId="0" priority="1">
      <formula>MOD(ROW(),2)=0</formula>
    </cfRule>
  </conditionalFormatting>
  <conditionalFormatting sqref="C5:K1048576">
    <cfRule type="expression" dxfId="0" priority="94">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C1:CX5"/>
  <sheetViews>
    <sheetView showGridLines="0" workbookViewId="0">
      <selection activeCell="T4" sqref="T4"/>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3">
      <c r="C3" s="4" t="s">
        <v>179</v>
      </c>
    </row>
    <row r="4" ht="18" spans="3:102">
      <c r="C4" s="5" t="s">
        <v>66</v>
      </c>
      <c r="D4" s="5" t="s">
        <v>67</v>
      </c>
      <c r="E4" s="5" t="s">
        <v>68</v>
      </c>
      <c r="F4" s="5" t="s">
        <v>69</v>
      </c>
      <c r="G4" s="5" t="s">
        <v>70</v>
      </c>
      <c r="H4" s="5" t="s">
        <v>71</v>
      </c>
      <c r="I4" s="5" t="s">
        <v>72</v>
      </c>
      <c r="J4" s="5" t="s">
        <v>73</v>
      </c>
      <c r="K4" s="5" t="s">
        <v>74</v>
      </c>
      <c r="L4" s="5" t="s">
        <v>75</v>
      </c>
      <c r="M4" s="5" t="s">
        <v>76</v>
      </c>
      <c r="N4" s="5" t="s">
        <v>77</v>
      </c>
      <c r="O4" s="5" t="s">
        <v>78</v>
      </c>
      <c r="P4" s="5" t="s">
        <v>79</v>
      </c>
      <c r="Q4" s="5" t="s">
        <v>80</v>
      </c>
      <c r="R4" s="5" t="s">
        <v>81</v>
      </c>
      <c r="S4" s="5" t="s">
        <v>82</v>
      </c>
      <c r="T4" s="5" t="s">
        <v>83</v>
      </c>
      <c r="U4" s="5" t="s">
        <v>84</v>
      </c>
      <c r="V4" s="5" t="s">
        <v>85</v>
      </c>
      <c r="W4" s="5" t="s">
        <v>86</v>
      </c>
      <c r="X4" s="5" t="s">
        <v>87</v>
      </c>
      <c r="Y4" s="5" t="s">
        <v>88</v>
      </c>
      <c r="Z4" s="5" t="s">
        <v>89</v>
      </c>
      <c r="AA4" s="5" t="s">
        <v>90</v>
      </c>
      <c r="AB4" s="5" t="s">
        <v>91</v>
      </c>
      <c r="AC4" s="5" t="s">
        <v>92</v>
      </c>
      <c r="AD4" s="5" t="s">
        <v>93</v>
      </c>
      <c r="AE4" s="5" t="s">
        <v>94</v>
      </c>
      <c r="AF4" s="5" t="s">
        <v>95</v>
      </c>
      <c r="AG4" s="5" t="s">
        <v>96</v>
      </c>
      <c r="AH4" s="5" t="s">
        <v>97</v>
      </c>
      <c r="AI4" s="5" t="s">
        <v>98</v>
      </c>
      <c r="AJ4" s="5" t="s">
        <v>99</v>
      </c>
      <c r="AK4" s="5" t="s">
        <v>100</v>
      </c>
      <c r="AL4" s="5" t="s">
        <v>101</v>
      </c>
      <c r="AM4" s="5" t="s">
        <v>102</v>
      </c>
      <c r="AN4" s="5" t="s">
        <v>103</v>
      </c>
      <c r="AO4" s="5" t="s">
        <v>104</v>
      </c>
      <c r="AP4" s="5" t="s">
        <v>105</v>
      </c>
      <c r="AQ4" s="5" t="s">
        <v>106</v>
      </c>
      <c r="AR4" s="5" t="s">
        <v>107</v>
      </c>
      <c r="AS4" s="5" t="s">
        <v>108</v>
      </c>
      <c r="AT4" s="5" t="s">
        <v>109</v>
      </c>
      <c r="AU4" s="5" t="s">
        <v>110</v>
      </c>
      <c r="AV4" s="5" t="s">
        <v>111</v>
      </c>
      <c r="AW4" s="5" t="s">
        <v>112</v>
      </c>
      <c r="AX4" s="5" t="s">
        <v>113</v>
      </c>
      <c r="AY4" s="5" t="s">
        <v>114</v>
      </c>
      <c r="AZ4" s="5" t="s">
        <v>115</v>
      </c>
      <c r="BA4" s="5" t="s">
        <v>116</v>
      </c>
      <c r="BB4" s="5" t="s">
        <v>117</v>
      </c>
      <c r="BC4" s="5" t="s">
        <v>118</v>
      </c>
      <c r="BD4" s="5" t="s">
        <v>119</v>
      </c>
      <c r="BE4" s="5" t="s">
        <v>120</v>
      </c>
      <c r="BF4" s="5" t="s">
        <v>121</v>
      </c>
      <c r="BG4" s="5" t="s">
        <v>122</v>
      </c>
      <c r="BH4" s="5" t="s">
        <v>123</v>
      </c>
      <c r="BI4" s="5" t="s">
        <v>124</v>
      </c>
      <c r="BJ4" s="5" t="s">
        <v>125</v>
      </c>
      <c r="BK4" s="5" t="s">
        <v>126</v>
      </c>
      <c r="BL4" s="5" t="s">
        <v>127</v>
      </c>
      <c r="BM4" s="5" t="s">
        <v>128</v>
      </c>
      <c r="BN4" s="5" t="s">
        <v>128</v>
      </c>
      <c r="BO4" s="5" t="s">
        <v>129</v>
      </c>
      <c r="BP4" s="5" t="s">
        <v>130</v>
      </c>
      <c r="BQ4" s="5" t="s">
        <v>131</v>
      </c>
      <c r="BR4" s="5" t="s">
        <v>132</v>
      </c>
      <c r="BS4" s="5" t="s">
        <v>133</v>
      </c>
      <c r="BT4" s="5" t="s">
        <v>134</v>
      </c>
      <c r="BU4" s="5" t="s">
        <v>135</v>
      </c>
      <c r="BV4" s="5" t="s">
        <v>136</v>
      </c>
      <c r="BW4" s="5" t="s">
        <v>137</v>
      </c>
      <c r="BX4" s="5" t="s">
        <v>138</v>
      </c>
      <c r="BY4" s="5" t="s">
        <v>139</v>
      </c>
      <c r="BZ4" s="5" t="s">
        <v>140</v>
      </c>
      <c r="CA4" s="5" t="s">
        <v>141</v>
      </c>
      <c r="CB4" s="5" t="s">
        <v>142</v>
      </c>
      <c r="CC4" s="5" t="s">
        <v>143</v>
      </c>
      <c r="CD4" s="5" t="s">
        <v>144</v>
      </c>
      <c r="CE4" s="5" t="s">
        <v>145</v>
      </c>
      <c r="CF4" s="5" t="s">
        <v>146</v>
      </c>
      <c r="CG4" s="5" t="s">
        <v>147</v>
      </c>
      <c r="CH4" s="5" t="s">
        <v>148</v>
      </c>
      <c r="CI4" s="5" t="s">
        <v>149</v>
      </c>
      <c r="CJ4" s="5" t="s">
        <v>150</v>
      </c>
      <c r="CK4" s="5" t="s">
        <v>151</v>
      </c>
      <c r="CL4" s="5" t="s">
        <v>152</v>
      </c>
      <c r="CM4" s="5" t="s">
        <v>153</v>
      </c>
      <c r="CN4" s="5" t="s">
        <v>154</v>
      </c>
      <c r="CO4" s="5" t="s">
        <v>155</v>
      </c>
      <c r="CP4" s="5" t="s">
        <v>156</v>
      </c>
      <c r="CQ4" s="5" t="s">
        <v>157</v>
      </c>
      <c r="CR4" s="5" t="s">
        <v>158</v>
      </c>
      <c r="CS4" s="5" t="s">
        <v>159</v>
      </c>
      <c r="CT4" s="5" t="s">
        <v>160</v>
      </c>
      <c r="CU4" s="5" t="s">
        <v>161</v>
      </c>
      <c r="CV4" s="5" t="s">
        <v>162</v>
      </c>
      <c r="CW4" s="5" t="s">
        <v>163</v>
      </c>
      <c r="CX4" s="5" t="s">
        <v>164</v>
      </c>
    </row>
    <row r="5" spans="3:102">
      <c r="C5" s="8">
        <v>29</v>
      </c>
      <c r="D5" s="8">
        <v>54</v>
      </c>
      <c r="E5" s="8">
        <v>43</v>
      </c>
      <c r="F5" s="8">
        <v>25</v>
      </c>
      <c r="G5" s="8">
        <v>23</v>
      </c>
      <c r="H5" s="8">
        <v>17</v>
      </c>
      <c r="I5" s="8">
        <v>10</v>
      </c>
      <c r="J5" s="8">
        <v>7</v>
      </c>
      <c r="K5" s="8">
        <v>3</v>
      </c>
      <c r="L5" s="8">
        <v>1</v>
      </c>
      <c r="M5" s="8">
        <v>3</v>
      </c>
      <c r="N5" s="8">
        <v>0</v>
      </c>
      <c r="O5" s="8">
        <v>0</v>
      </c>
      <c r="P5" s="8">
        <v>1</v>
      </c>
      <c r="Q5" s="8">
        <v>0</v>
      </c>
      <c r="R5" s="8">
        <v>1</v>
      </c>
      <c r="S5" s="8">
        <v>0</v>
      </c>
      <c r="T5" s="8">
        <v>0</v>
      </c>
      <c r="U5" s="8">
        <v>0</v>
      </c>
      <c r="V5" s="8">
        <v>0</v>
      </c>
      <c r="W5" s="8">
        <v>1</v>
      </c>
      <c r="X5" s="8">
        <v>0</v>
      </c>
      <c r="Y5" s="8">
        <v>0</v>
      </c>
      <c r="Z5" s="8">
        <v>0</v>
      </c>
      <c r="AA5" s="8">
        <v>0</v>
      </c>
      <c r="AB5" s="8">
        <v>0</v>
      </c>
      <c r="AC5" s="8">
        <v>0</v>
      </c>
      <c r="AD5" s="8">
        <v>0</v>
      </c>
      <c r="AE5" s="8">
        <v>2</v>
      </c>
      <c r="AF5" s="8">
        <v>1</v>
      </c>
      <c r="AG5" s="8">
        <v>0</v>
      </c>
      <c r="AH5" s="8">
        <v>0</v>
      </c>
      <c r="AI5" s="8">
        <v>0</v>
      </c>
      <c r="AJ5" s="8">
        <v>0</v>
      </c>
      <c r="AK5" s="8">
        <v>0</v>
      </c>
      <c r="AL5" s="8">
        <v>0</v>
      </c>
      <c r="AM5" s="8">
        <v>1</v>
      </c>
      <c r="AN5" s="8">
        <v>0</v>
      </c>
      <c r="AO5" s="8">
        <v>0</v>
      </c>
      <c r="AP5" s="8">
        <v>0</v>
      </c>
      <c r="AQ5" s="8">
        <v>0</v>
      </c>
      <c r="AR5" s="8">
        <v>0</v>
      </c>
      <c r="AS5" s="8">
        <v>0</v>
      </c>
      <c r="AT5" s="8">
        <v>0</v>
      </c>
      <c r="AU5" s="8">
        <v>1</v>
      </c>
      <c r="AV5" s="8">
        <v>0</v>
      </c>
      <c r="AW5" s="8">
        <v>0</v>
      </c>
      <c r="AX5" s="8">
        <v>0</v>
      </c>
      <c r="AY5" s="8">
        <v>0</v>
      </c>
      <c r="AZ5" s="8">
        <v>0</v>
      </c>
      <c r="BA5" s="8">
        <v>0</v>
      </c>
      <c r="BB5" s="8">
        <v>0</v>
      </c>
      <c r="BC5" s="8">
        <v>0</v>
      </c>
      <c r="BD5" s="8">
        <v>1</v>
      </c>
      <c r="BE5" s="8">
        <v>0</v>
      </c>
      <c r="BF5" s="8">
        <v>0</v>
      </c>
      <c r="BG5" s="8">
        <v>0</v>
      </c>
      <c r="BH5" s="8">
        <v>0</v>
      </c>
      <c r="BI5" s="8">
        <v>0</v>
      </c>
      <c r="BJ5" s="8">
        <v>0</v>
      </c>
      <c r="BK5" s="8">
        <v>0</v>
      </c>
      <c r="BL5" s="8">
        <v>3</v>
      </c>
      <c r="BM5" s="8">
        <v>0</v>
      </c>
      <c r="BN5" s="8">
        <v>0</v>
      </c>
      <c r="BO5" s="8">
        <v>0</v>
      </c>
      <c r="BP5" s="8">
        <v>0</v>
      </c>
      <c r="BQ5" s="8">
        <v>0</v>
      </c>
      <c r="BR5" s="8">
        <v>0</v>
      </c>
      <c r="BS5" s="8">
        <v>0</v>
      </c>
      <c r="BT5" s="8">
        <v>0</v>
      </c>
      <c r="BU5" s="8">
        <v>0</v>
      </c>
      <c r="BV5" s="8">
        <v>0</v>
      </c>
      <c r="BW5" s="8">
        <v>0</v>
      </c>
      <c r="BX5" s="8">
        <v>0</v>
      </c>
      <c r="BY5" s="8">
        <v>1</v>
      </c>
      <c r="BZ5" s="8">
        <v>0</v>
      </c>
      <c r="CA5" s="8">
        <v>0</v>
      </c>
      <c r="CB5" s="8">
        <v>0</v>
      </c>
      <c r="CC5" s="8">
        <v>2</v>
      </c>
      <c r="CD5" s="8">
        <v>0</v>
      </c>
      <c r="CE5" s="8">
        <v>0</v>
      </c>
      <c r="CF5" s="8">
        <v>0</v>
      </c>
      <c r="CG5" s="8">
        <v>0</v>
      </c>
      <c r="CH5" s="8">
        <v>0</v>
      </c>
      <c r="CI5" s="8">
        <v>0</v>
      </c>
      <c r="CJ5" s="8">
        <v>0</v>
      </c>
      <c r="CK5" s="8">
        <v>0</v>
      </c>
      <c r="CL5" s="8">
        <v>0</v>
      </c>
      <c r="CM5" s="8">
        <v>0</v>
      </c>
      <c r="CN5" s="8">
        <v>0</v>
      </c>
      <c r="CO5" s="8">
        <v>0</v>
      </c>
      <c r="CP5" s="8">
        <v>0</v>
      </c>
      <c r="CQ5" s="8">
        <v>0</v>
      </c>
      <c r="CR5" s="8">
        <v>0</v>
      </c>
      <c r="CS5" s="8">
        <v>0</v>
      </c>
      <c r="CT5" s="8">
        <v>1</v>
      </c>
      <c r="CU5" s="8">
        <v>0</v>
      </c>
      <c r="CV5" s="8">
        <v>0</v>
      </c>
      <c r="CW5" s="8">
        <v>33</v>
      </c>
      <c r="CX5" s="8">
        <v>12</v>
      </c>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C1:CX5"/>
  <sheetViews>
    <sheetView showGridLines="0" workbookViewId="0">
      <selection activeCell="T1" sqref="T1"/>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3">
      <c r="C3" s="4" t="s">
        <v>180</v>
      </c>
    </row>
    <row r="4" s="7" customFormat="1" ht="18" spans="3:102">
      <c r="C4" s="5" t="s">
        <v>66</v>
      </c>
      <c r="D4" s="5" t="s">
        <v>67</v>
      </c>
      <c r="E4" s="5" t="s">
        <v>68</v>
      </c>
      <c r="F4" s="5" t="s">
        <v>69</v>
      </c>
      <c r="G4" s="5" t="s">
        <v>70</v>
      </c>
      <c r="H4" s="5" t="s">
        <v>71</v>
      </c>
      <c r="I4" s="5" t="s">
        <v>72</v>
      </c>
      <c r="J4" s="5" t="s">
        <v>73</v>
      </c>
      <c r="K4" s="5" t="s">
        <v>74</v>
      </c>
      <c r="L4" s="5" t="s">
        <v>75</v>
      </c>
      <c r="M4" s="5" t="s">
        <v>76</v>
      </c>
      <c r="N4" s="5" t="s">
        <v>77</v>
      </c>
      <c r="O4" s="5" t="s">
        <v>78</v>
      </c>
      <c r="P4" s="5" t="s">
        <v>79</v>
      </c>
      <c r="Q4" s="5" t="s">
        <v>80</v>
      </c>
      <c r="R4" s="5" t="s">
        <v>81</v>
      </c>
      <c r="S4" s="5" t="s">
        <v>82</v>
      </c>
      <c r="T4" s="5" t="s">
        <v>83</v>
      </c>
      <c r="U4" s="5" t="s">
        <v>84</v>
      </c>
      <c r="V4" s="5" t="s">
        <v>85</v>
      </c>
      <c r="W4" s="5" t="s">
        <v>86</v>
      </c>
      <c r="X4" s="5" t="s">
        <v>87</v>
      </c>
      <c r="Y4" s="5" t="s">
        <v>88</v>
      </c>
      <c r="Z4" s="5" t="s">
        <v>89</v>
      </c>
      <c r="AA4" s="5" t="s">
        <v>90</v>
      </c>
      <c r="AB4" s="5" t="s">
        <v>91</v>
      </c>
      <c r="AC4" s="5" t="s">
        <v>92</v>
      </c>
      <c r="AD4" s="5" t="s">
        <v>93</v>
      </c>
      <c r="AE4" s="5" t="s">
        <v>94</v>
      </c>
      <c r="AF4" s="5" t="s">
        <v>95</v>
      </c>
      <c r="AG4" s="5" t="s">
        <v>96</v>
      </c>
      <c r="AH4" s="5" t="s">
        <v>97</v>
      </c>
      <c r="AI4" s="5" t="s">
        <v>98</v>
      </c>
      <c r="AJ4" s="5" t="s">
        <v>99</v>
      </c>
      <c r="AK4" s="5" t="s">
        <v>100</v>
      </c>
      <c r="AL4" s="5" t="s">
        <v>101</v>
      </c>
      <c r="AM4" s="5" t="s">
        <v>102</v>
      </c>
      <c r="AN4" s="5" t="s">
        <v>103</v>
      </c>
      <c r="AO4" s="5" t="s">
        <v>104</v>
      </c>
      <c r="AP4" s="5" t="s">
        <v>105</v>
      </c>
      <c r="AQ4" s="5" t="s">
        <v>106</v>
      </c>
      <c r="AR4" s="5" t="s">
        <v>107</v>
      </c>
      <c r="AS4" s="5" t="s">
        <v>108</v>
      </c>
      <c r="AT4" s="5" t="s">
        <v>109</v>
      </c>
      <c r="AU4" s="5" t="s">
        <v>110</v>
      </c>
      <c r="AV4" s="5" t="s">
        <v>111</v>
      </c>
      <c r="AW4" s="5" t="s">
        <v>112</v>
      </c>
      <c r="AX4" s="5" t="s">
        <v>113</v>
      </c>
      <c r="AY4" s="5" t="s">
        <v>114</v>
      </c>
      <c r="AZ4" s="5" t="s">
        <v>115</v>
      </c>
      <c r="BA4" s="5" t="s">
        <v>116</v>
      </c>
      <c r="BB4" s="5" t="s">
        <v>117</v>
      </c>
      <c r="BC4" s="5" t="s">
        <v>118</v>
      </c>
      <c r="BD4" s="5" t="s">
        <v>119</v>
      </c>
      <c r="BE4" s="5" t="s">
        <v>120</v>
      </c>
      <c r="BF4" s="5" t="s">
        <v>121</v>
      </c>
      <c r="BG4" s="5" t="s">
        <v>122</v>
      </c>
      <c r="BH4" s="5" t="s">
        <v>123</v>
      </c>
      <c r="BI4" s="5" t="s">
        <v>124</v>
      </c>
      <c r="BJ4" s="5" t="s">
        <v>125</v>
      </c>
      <c r="BK4" s="5" t="s">
        <v>126</v>
      </c>
      <c r="BL4" s="5" t="s">
        <v>127</v>
      </c>
      <c r="BM4" s="5" t="s">
        <v>128</v>
      </c>
      <c r="BN4" s="5" t="s">
        <v>128</v>
      </c>
      <c r="BO4" s="5" t="s">
        <v>129</v>
      </c>
      <c r="BP4" s="5" t="s">
        <v>130</v>
      </c>
      <c r="BQ4" s="5" t="s">
        <v>131</v>
      </c>
      <c r="BR4" s="5" t="s">
        <v>132</v>
      </c>
      <c r="BS4" s="5" t="s">
        <v>133</v>
      </c>
      <c r="BT4" s="5" t="s">
        <v>134</v>
      </c>
      <c r="BU4" s="5" t="s">
        <v>135</v>
      </c>
      <c r="BV4" s="5" t="s">
        <v>136</v>
      </c>
      <c r="BW4" s="5" t="s">
        <v>137</v>
      </c>
      <c r="BX4" s="5" t="s">
        <v>138</v>
      </c>
      <c r="BY4" s="5" t="s">
        <v>139</v>
      </c>
      <c r="BZ4" s="5" t="s">
        <v>140</v>
      </c>
      <c r="CA4" s="5" t="s">
        <v>141</v>
      </c>
      <c r="CB4" s="5" t="s">
        <v>142</v>
      </c>
      <c r="CC4" s="5" t="s">
        <v>143</v>
      </c>
      <c r="CD4" s="5" t="s">
        <v>144</v>
      </c>
      <c r="CE4" s="5" t="s">
        <v>145</v>
      </c>
      <c r="CF4" s="5" t="s">
        <v>146</v>
      </c>
      <c r="CG4" s="5" t="s">
        <v>147</v>
      </c>
      <c r="CH4" s="5" t="s">
        <v>148</v>
      </c>
      <c r="CI4" s="5" t="s">
        <v>149</v>
      </c>
      <c r="CJ4" s="5" t="s">
        <v>150</v>
      </c>
      <c r="CK4" s="5" t="s">
        <v>151</v>
      </c>
      <c r="CL4" s="5" t="s">
        <v>152</v>
      </c>
      <c r="CM4" s="5" t="s">
        <v>153</v>
      </c>
      <c r="CN4" s="5" t="s">
        <v>154</v>
      </c>
      <c r="CO4" s="5" t="s">
        <v>155</v>
      </c>
      <c r="CP4" s="5" t="s">
        <v>156</v>
      </c>
      <c r="CQ4" s="5" t="s">
        <v>157</v>
      </c>
      <c r="CR4" s="5" t="s">
        <v>158</v>
      </c>
      <c r="CS4" s="5" t="s">
        <v>159</v>
      </c>
      <c r="CT4" s="5" t="s">
        <v>160</v>
      </c>
      <c r="CU4" s="5" t="s">
        <v>161</v>
      </c>
      <c r="CV4" s="5" t="s">
        <v>162</v>
      </c>
      <c r="CW4" s="5" t="s">
        <v>163</v>
      </c>
      <c r="CX4" s="5" t="s">
        <v>164</v>
      </c>
    </row>
    <row r="5" s="7" customFormat="1" spans="3:102">
      <c r="C5" s="8">
        <v>24</v>
      </c>
      <c r="D5" s="8">
        <v>42</v>
      </c>
      <c r="E5" s="8">
        <v>34</v>
      </c>
      <c r="F5" s="8">
        <v>17</v>
      </c>
      <c r="G5" s="8">
        <v>17</v>
      </c>
      <c r="H5" s="8">
        <v>13</v>
      </c>
      <c r="I5" s="8">
        <v>7</v>
      </c>
      <c r="J5" s="8">
        <v>5</v>
      </c>
      <c r="K5" s="8">
        <v>1</v>
      </c>
      <c r="L5" s="8">
        <v>0</v>
      </c>
      <c r="M5" s="8">
        <v>1</v>
      </c>
      <c r="N5" s="8">
        <v>0</v>
      </c>
      <c r="O5" s="8">
        <v>0</v>
      </c>
      <c r="P5" s="8">
        <v>1</v>
      </c>
      <c r="Q5" s="8">
        <v>0</v>
      </c>
      <c r="R5" s="8">
        <v>1</v>
      </c>
      <c r="S5" s="8">
        <v>0</v>
      </c>
      <c r="T5" s="8">
        <v>0</v>
      </c>
      <c r="U5" s="8">
        <v>0</v>
      </c>
      <c r="V5" s="8">
        <v>0</v>
      </c>
      <c r="W5" s="8">
        <v>0</v>
      </c>
      <c r="X5" s="8">
        <v>0</v>
      </c>
      <c r="Y5" s="8">
        <v>0</v>
      </c>
      <c r="Z5" s="8">
        <v>0</v>
      </c>
      <c r="AA5" s="8">
        <v>0</v>
      </c>
      <c r="AB5" s="8">
        <v>0</v>
      </c>
      <c r="AC5" s="8">
        <v>0</v>
      </c>
      <c r="AD5" s="8">
        <v>0</v>
      </c>
      <c r="AE5" s="8">
        <v>1</v>
      </c>
      <c r="AF5" s="8">
        <v>0</v>
      </c>
      <c r="AG5" s="8">
        <v>0</v>
      </c>
      <c r="AH5" s="8">
        <v>0</v>
      </c>
      <c r="AI5" s="8">
        <v>0</v>
      </c>
      <c r="AJ5" s="8">
        <v>0</v>
      </c>
      <c r="AK5" s="8">
        <v>0</v>
      </c>
      <c r="AL5" s="8">
        <v>0</v>
      </c>
      <c r="AM5" s="8">
        <v>0</v>
      </c>
      <c r="AN5" s="8">
        <v>0</v>
      </c>
      <c r="AO5" s="8">
        <v>0</v>
      </c>
      <c r="AP5" s="8">
        <v>0</v>
      </c>
      <c r="AQ5" s="8">
        <v>0</v>
      </c>
      <c r="AR5" s="8">
        <v>0</v>
      </c>
      <c r="AS5" s="8">
        <v>0</v>
      </c>
      <c r="AT5" s="8">
        <v>0</v>
      </c>
      <c r="AU5" s="8">
        <v>0</v>
      </c>
      <c r="AV5" s="8">
        <v>0</v>
      </c>
      <c r="AW5" s="8">
        <v>0</v>
      </c>
      <c r="AX5" s="8">
        <v>0</v>
      </c>
      <c r="AY5" s="8">
        <v>0</v>
      </c>
      <c r="AZ5" s="8">
        <v>0</v>
      </c>
      <c r="BA5" s="8">
        <v>0</v>
      </c>
      <c r="BB5" s="8">
        <v>0</v>
      </c>
      <c r="BC5" s="8">
        <v>0</v>
      </c>
      <c r="BD5" s="8">
        <v>0</v>
      </c>
      <c r="BE5" s="8">
        <v>0</v>
      </c>
      <c r="BF5" s="8">
        <v>0</v>
      </c>
      <c r="BG5" s="8">
        <v>0</v>
      </c>
      <c r="BH5" s="8">
        <v>0</v>
      </c>
      <c r="BI5" s="8">
        <v>0</v>
      </c>
      <c r="BJ5" s="8">
        <v>0</v>
      </c>
      <c r="BK5" s="8">
        <v>0</v>
      </c>
      <c r="BL5" s="8">
        <v>3</v>
      </c>
      <c r="BM5" s="8">
        <v>0</v>
      </c>
      <c r="BN5" s="8">
        <v>0</v>
      </c>
      <c r="BO5" s="8">
        <v>0</v>
      </c>
      <c r="BP5" s="8">
        <v>0</v>
      </c>
      <c r="BQ5" s="8">
        <v>0</v>
      </c>
      <c r="BR5" s="8">
        <v>0</v>
      </c>
      <c r="BS5" s="8">
        <v>0</v>
      </c>
      <c r="BT5" s="8">
        <v>0</v>
      </c>
      <c r="BU5" s="8">
        <v>0</v>
      </c>
      <c r="BV5" s="8">
        <v>0</v>
      </c>
      <c r="BW5" s="8">
        <v>0</v>
      </c>
      <c r="BX5" s="8">
        <v>0</v>
      </c>
      <c r="BY5" s="8">
        <v>0</v>
      </c>
      <c r="BZ5" s="8">
        <v>0</v>
      </c>
      <c r="CA5" s="8">
        <v>0</v>
      </c>
      <c r="CB5" s="8">
        <v>0</v>
      </c>
      <c r="CC5" s="8">
        <v>1</v>
      </c>
      <c r="CD5" s="8">
        <v>0</v>
      </c>
      <c r="CE5" s="8">
        <v>0</v>
      </c>
      <c r="CF5" s="8">
        <v>0</v>
      </c>
      <c r="CG5" s="8">
        <v>0</v>
      </c>
      <c r="CH5" s="8">
        <v>0</v>
      </c>
      <c r="CI5" s="8">
        <v>0</v>
      </c>
      <c r="CJ5" s="8">
        <v>0</v>
      </c>
      <c r="CK5" s="8">
        <v>0</v>
      </c>
      <c r="CL5" s="8">
        <v>0</v>
      </c>
      <c r="CM5" s="8">
        <v>0</v>
      </c>
      <c r="CN5" s="8">
        <v>0</v>
      </c>
      <c r="CO5" s="8">
        <v>0</v>
      </c>
      <c r="CP5" s="8">
        <v>0</v>
      </c>
      <c r="CQ5" s="8">
        <v>0</v>
      </c>
      <c r="CR5" s="8">
        <v>0</v>
      </c>
      <c r="CS5" s="8">
        <v>0</v>
      </c>
      <c r="CT5" s="8">
        <v>0</v>
      </c>
      <c r="CU5" s="8">
        <v>0</v>
      </c>
      <c r="CV5" s="8">
        <v>0</v>
      </c>
      <c r="CW5" s="8">
        <v>28</v>
      </c>
      <c r="CX5" s="8">
        <v>11</v>
      </c>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E8"/>
  <sheetViews>
    <sheetView showGridLines="0" workbookViewId="0">
      <selection activeCell="F8" sqref="F8"/>
    </sheetView>
  </sheetViews>
  <sheetFormatPr defaultColWidth="9" defaultRowHeight="20" customHeight="1" outlineLevelRow="7" outlineLevelCol="4"/>
  <cols>
    <col min="1" max="1" width="3.625" style="2" customWidth="1"/>
    <col min="2" max="2" width="3.625" style="2" hidden="1" customWidth="1"/>
    <col min="3" max="3" width="6.125" style="3" customWidth="1"/>
    <col min="4" max="5" width="26.875" style="3" customWidth="1"/>
    <col min="6" max="16384" width="9" style="2"/>
  </cols>
  <sheetData>
    <row r="1" s="1" customFormat="1" ht="50" customHeight="1"/>
    <row r="2" s="1" customFormat="1" ht="40" hidden="1" customHeight="1"/>
    <row r="3" s="1" customFormat="1" ht="40" customHeight="1" spans="3:3">
      <c r="C3" s="4" t="s">
        <v>181</v>
      </c>
    </row>
    <row r="4" s="1" customFormat="1" ht="30" customHeight="1" spans="3:5">
      <c r="C4" s="5" t="s">
        <v>42</v>
      </c>
      <c r="D4" s="5" t="s">
        <v>182</v>
      </c>
      <c r="E4" s="5" t="s">
        <v>183</v>
      </c>
    </row>
    <row r="5" s="2" customFormat="1" customHeight="1" spans="2:5">
      <c r="B5" s="2">
        <v>6</v>
      </c>
      <c r="C5" s="3">
        <v>1</v>
      </c>
      <c r="D5" s="3" t="s">
        <v>66</v>
      </c>
      <c r="E5" s="3" t="s">
        <v>184</v>
      </c>
    </row>
    <row r="6" s="2" customFormat="1" customHeight="1" spans="2:5">
      <c r="B6" s="2">
        <v>7</v>
      </c>
      <c r="C6" s="3">
        <v>2</v>
      </c>
      <c r="D6" s="3" t="s">
        <v>67</v>
      </c>
      <c r="E6" s="3" t="s">
        <v>185</v>
      </c>
    </row>
    <row r="7" s="2" customFormat="1" customHeight="1" spans="2:5">
      <c r="B7" s="2">
        <v>8</v>
      </c>
      <c r="C7" s="3">
        <v>3</v>
      </c>
      <c r="D7" s="3" t="s">
        <v>68</v>
      </c>
      <c r="E7" s="3" t="s">
        <v>186</v>
      </c>
    </row>
    <row r="8" s="2" customFormat="1" customHeight="1" spans="3:5">
      <c r="C8" s="3"/>
      <c r="D8" s="3"/>
      <c r="E8" s="3"/>
    </row>
  </sheetData>
  <conditionalFormatting sqref="C5:E1048576">
    <cfRule type="expression" dxfId="0" priority="1">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DB97"/>
  <sheetViews>
    <sheetView showGridLines="0" workbookViewId="0">
      <pane ySplit="4" topLeftCell="A5" activePane="bottomLeft" state="frozen"/>
      <selection/>
      <selection pane="bottomLeft" activeCell="H10" sqref="H10"/>
    </sheetView>
  </sheetViews>
  <sheetFormatPr defaultColWidth="9" defaultRowHeight="20" customHeight="1"/>
  <cols>
    <col min="1" max="1" width="3.625" style="2" customWidth="1"/>
    <col min="2" max="2" width="3.625" style="2" hidden="1" customWidth="1"/>
    <col min="3" max="3" width="6.125" style="3" customWidth="1"/>
    <col min="4" max="6" width="14.5" style="3" customWidth="1"/>
    <col min="7" max="106" width="13.375" style="3" customWidth="1"/>
    <col min="107" max="16384" width="9" style="2"/>
  </cols>
  <sheetData>
    <row r="1" s="1" customFormat="1" ht="50" customHeight="1"/>
    <row r="2" s="1" customFormat="1" ht="40" hidden="1" customHeight="1"/>
    <row r="3" s="1" customFormat="1" ht="40" customHeight="1" spans="3:3">
      <c r="C3" s="4" t="s">
        <v>187</v>
      </c>
    </row>
    <row r="4" s="1" customFormat="1" ht="30" customHeight="1" spans="3:106">
      <c r="C4" s="5" t="s">
        <v>42</v>
      </c>
      <c r="D4" s="5" t="s">
        <v>188</v>
      </c>
      <c r="E4" s="5" t="s">
        <v>189</v>
      </c>
      <c r="F4" s="5" t="s">
        <v>190</v>
      </c>
      <c r="G4" s="5" t="s">
        <v>66</v>
      </c>
      <c r="H4" s="5" t="s">
        <v>67</v>
      </c>
      <c r="I4" s="5" t="s">
        <v>68</v>
      </c>
      <c r="J4" s="5" t="s">
        <v>69</v>
      </c>
      <c r="K4" s="5" t="s">
        <v>70</v>
      </c>
      <c r="L4" s="5" t="s">
        <v>71</v>
      </c>
      <c r="M4" s="5" t="s">
        <v>72</v>
      </c>
      <c r="N4" s="5" t="s">
        <v>73</v>
      </c>
      <c r="O4" s="5" t="s">
        <v>74</v>
      </c>
      <c r="P4" s="5" t="s">
        <v>75</v>
      </c>
      <c r="Q4" s="5" t="s">
        <v>76</v>
      </c>
      <c r="R4" s="5" t="s">
        <v>77</v>
      </c>
      <c r="S4" s="5" t="s">
        <v>78</v>
      </c>
      <c r="T4" s="5" t="s">
        <v>79</v>
      </c>
      <c r="U4" s="5" t="s">
        <v>80</v>
      </c>
      <c r="V4" s="5" t="s">
        <v>81</v>
      </c>
      <c r="W4" s="5" t="s">
        <v>82</v>
      </c>
      <c r="X4" s="5" t="s">
        <v>83</v>
      </c>
      <c r="Y4" s="5" t="s">
        <v>84</v>
      </c>
      <c r="Z4" s="5" t="s">
        <v>85</v>
      </c>
      <c r="AA4" s="5" t="s">
        <v>86</v>
      </c>
      <c r="AB4" s="5" t="s">
        <v>87</v>
      </c>
      <c r="AC4" s="5" t="s">
        <v>88</v>
      </c>
      <c r="AD4" s="5" t="s">
        <v>89</v>
      </c>
      <c r="AE4" s="5" t="s">
        <v>90</v>
      </c>
      <c r="AF4" s="5" t="s">
        <v>91</v>
      </c>
      <c r="AG4" s="5" t="s">
        <v>92</v>
      </c>
      <c r="AH4" s="5" t="s">
        <v>93</v>
      </c>
      <c r="AI4" s="5" t="s">
        <v>94</v>
      </c>
      <c r="AJ4" s="5" t="s">
        <v>95</v>
      </c>
      <c r="AK4" s="5" t="s">
        <v>96</v>
      </c>
      <c r="AL4" s="5" t="s">
        <v>97</v>
      </c>
      <c r="AM4" s="5" t="s">
        <v>98</v>
      </c>
      <c r="AN4" s="5" t="s">
        <v>99</v>
      </c>
      <c r="AO4" s="5" t="s">
        <v>100</v>
      </c>
      <c r="AP4" s="5" t="s">
        <v>101</v>
      </c>
      <c r="AQ4" s="5" t="s">
        <v>102</v>
      </c>
      <c r="AR4" s="5" t="s">
        <v>103</v>
      </c>
      <c r="AS4" s="5" t="s">
        <v>104</v>
      </c>
      <c r="AT4" s="5" t="s">
        <v>105</v>
      </c>
      <c r="AU4" s="5" t="s">
        <v>106</v>
      </c>
      <c r="AV4" s="5" t="s">
        <v>107</v>
      </c>
      <c r="AW4" s="5" t="s">
        <v>108</v>
      </c>
      <c r="AX4" s="5" t="s">
        <v>109</v>
      </c>
      <c r="AY4" s="5" t="s">
        <v>110</v>
      </c>
      <c r="AZ4" s="5" t="s">
        <v>111</v>
      </c>
      <c r="BA4" s="5" t="s">
        <v>112</v>
      </c>
      <c r="BB4" s="5" t="s">
        <v>113</v>
      </c>
      <c r="BC4" s="5" t="s">
        <v>114</v>
      </c>
      <c r="BD4" s="5" t="s">
        <v>115</v>
      </c>
      <c r="BE4" s="5" t="s">
        <v>116</v>
      </c>
      <c r="BF4" s="5" t="s">
        <v>117</v>
      </c>
      <c r="BG4" s="5" t="s">
        <v>118</v>
      </c>
      <c r="BH4" s="5" t="s">
        <v>119</v>
      </c>
      <c r="BI4" s="5" t="s">
        <v>120</v>
      </c>
      <c r="BJ4" s="5" t="s">
        <v>121</v>
      </c>
      <c r="BK4" s="5" t="s">
        <v>122</v>
      </c>
      <c r="BL4" s="5" t="s">
        <v>123</v>
      </c>
      <c r="BM4" s="5" t="s">
        <v>124</v>
      </c>
      <c r="BN4" s="5" t="s">
        <v>125</v>
      </c>
      <c r="BO4" s="5" t="s">
        <v>126</v>
      </c>
      <c r="BP4" s="5" t="s">
        <v>127</v>
      </c>
      <c r="BQ4" s="5" t="s">
        <v>128</v>
      </c>
      <c r="BR4" s="5" t="s">
        <v>128</v>
      </c>
      <c r="BS4" s="5" t="s">
        <v>129</v>
      </c>
      <c r="BT4" s="5" t="s">
        <v>130</v>
      </c>
      <c r="BU4" s="5" t="s">
        <v>131</v>
      </c>
      <c r="BV4" s="5" t="s">
        <v>132</v>
      </c>
      <c r="BW4" s="5" t="s">
        <v>133</v>
      </c>
      <c r="BX4" s="5" t="s">
        <v>134</v>
      </c>
      <c r="BY4" s="5" t="s">
        <v>135</v>
      </c>
      <c r="BZ4" s="5" t="s">
        <v>136</v>
      </c>
      <c r="CA4" s="5" t="s">
        <v>137</v>
      </c>
      <c r="CB4" s="5" t="s">
        <v>138</v>
      </c>
      <c r="CC4" s="5" t="s">
        <v>139</v>
      </c>
      <c r="CD4" s="5" t="s">
        <v>140</v>
      </c>
      <c r="CE4" s="5" t="s">
        <v>141</v>
      </c>
      <c r="CF4" s="5" t="s">
        <v>142</v>
      </c>
      <c r="CG4" s="5" t="s">
        <v>143</v>
      </c>
      <c r="CH4" s="5" t="s">
        <v>144</v>
      </c>
      <c r="CI4" s="5" t="s">
        <v>145</v>
      </c>
      <c r="CJ4" s="5" t="s">
        <v>146</v>
      </c>
      <c r="CK4" s="5" t="s">
        <v>147</v>
      </c>
      <c r="CL4" s="5" t="s">
        <v>148</v>
      </c>
      <c r="CM4" s="5" t="s">
        <v>149</v>
      </c>
      <c r="CN4" s="5" t="s">
        <v>150</v>
      </c>
      <c r="CO4" s="5" t="s">
        <v>151</v>
      </c>
      <c r="CP4" s="5" t="s">
        <v>152</v>
      </c>
      <c r="CQ4" s="5" t="s">
        <v>153</v>
      </c>
      <c r="CR4" s="5" t="s">
        <v>154</v>
      </c>
      <c r="CS4" s="5" t="s">
        <v>155</v>
      </c>
      <c r="CT4" s="5" t="s">
        <v>156</v>
      </c>
      <c r="CU4" s="5" t="s">
        <v>157</v>
      </c>
      <c r="CV4" s="5" t="s">
        <v>158</v>
      </c>
      <c r="CW4" s="5" t="s">
        <v>159</v>
      </c>
      <c r="CX4" s="5" t="s">
        <v>160</v>
      </c>
      <c r="CY4" s="5" t="s">
        <v>161</v>
      </c>
      <c r="CZ4" s="5" t="s">
        <v>162</v>
      </c>
      <c r="DA4" s="5" t="s">
        <v>163</v>
      </c>
      <c r="DB4" s="5" t="s">
        <v>164</v>
      </c>
    </row>
    <row r="5" s="2" customFormat="1" customHeight="1" spans="2:106">
      <c r="B5" s="2">
        <v>2603</v>
      </c>
      <c r="C5" s="3">
        <v>1</v>
      </c>
      <c r="D5" s="3" t="s">
        <v>191</v>
      </c>
      <c r="E5" s="6">
        <v>44782</v>
      </c>
      <c r="F5" s="6">
        <v>44800</v>
      </c>
      <c r="G5" s="3">
        <f ca="1">G5*I5</f>
        <v>0</v>
      </c>
      <c r="H5" s="3">
        <f>I5*J5</f>
        <v>16</v>
      </c>
      <c r="I5" s="3">
        <f>K5*2</f>
        <v>4</v>
      </c>
      <c r="J5" s="3">
        <v>4</v>
      </c>
      <c r="K5" s="3">
        <v>2</v>
      </c>
      <c r="L5" s="3">
        <v>123</v>
      </c>
      <c r="M5" s="3">
        <v>2344555</v>
      </c>
      <c r="N5" s="3" t="s">
        <v>192</v>
      </c>
      <c r="O5" s="3">
        <v>123</v>
      </c>
      <c r="P5" s="3"/>
      <c r="Q5" s="3"/>
      <c r="R5" s="3"/>
      <c r="S5" s="3"/>
      <c r="T5" s="3"/>
      <c r="U5" s="3"/>
      <c r="V5" s="3"/>
      <c r="W5" s="3"/>
      <c r="X5" s="3"/>
      <c r="Y5" s="3"/>
      <c r="Z5" s="3"/>
      <c r="AA5" s="3" t="s">
        <v>193</v>
      </c>
      <c r="AB5" s="3"/>
      <c r="AC5" s="3"/>
      <c r="AD5" s="3"/>
      <c r="AE5" s="3"/>
      <c r="AF5" s="3"/>
      <c r="AG5" s="3"/>
      <c r="AH5" s="3"/>
      <c r="AI5" s="3"/>
      <c r="AJ5" s="3" t="s">
        <v>194</v>
      </c>
      <c r="AK5" s="3"/>
      <c r="AL5" s="3"/>
      <c r="AM5" s="3"/>
      <c r="AN5" s="3"/>
      <c r="AO5" s="3"/>
      <c r="AP5" s="3"/>
      <c r="AQ5" s="3">
        <v>123</v>
      </c>
      <c r="AR5" s="3"/>
      <c r="AS5" s="3"/>
      <c r="AT5" s="3"/>
      <c r="AU5" s="3"/>
      <c r="AV5" s="3"/>
      <c r="AW5" s="3"/>
      <c r="AX5" s="3"/>
      <c r="AY5" s="3" t="s">
        <v>195</v>
      </c>
      <c r="AZ5" s="3"/>
      <c r="BA5" s="3"/>
      <c r="BB5" s="3"/>
      <c r="BC5" s="3"/>
      <c r="BD5" s="3"/>
      <c r="BE5" s="3"/>
      <c r="BF5" s="3"/>
      <c r="BG5" s="3"/>
      <c r="BH5" s="3" t="s">
        <v>196</v>
      </c>
      <c r="BI5" s="3"/>
      <c r="BJ5" s="3"/>
      <c r="BK5" s="3"/>
      <c r="BL5" s="3"/>
      <c r="BM5" s="3"/>
      <c r="BN5" s="3"/>
      <c r="BO5" s="3"/>
      <c r="BP5" s="3"/>
      <c r="BQ5" s="3"/>
      <c r="BR5" s="3"/>
      <c r="BS5" s="3"/>
      <c r="BT5" s="3"/>
      <c r="BU5" s="3"/>
      <c r="BV5" s="3"/>
      <c r="BW5" s="3"/>
      <c r="BX5" s="3"/>
      <c r="BY5" s="3"/>
      <c r="BZ5" s="3"/>
      <c r="CA5" s="3"/>
      <c r="CB5" s="3"/>
      <c r="CC5" s="3">
        <v>234</v>
      </c>
      <c r="CD5" s="3"/>
      <c r="CE5" s="3"/>
      <c r="CF5" s="3"/>
      <c r="CG5" s="3"/>
      <c r="CH5" s="3"/>
      <c r="CI5" s="3"/>
      <c r="CJ5" s="3"/>
      <c r="CK5" s="3"/>
      <c r="CL5" s="3"/>
      <c r="CM5" s="3"/>
      <c r="CN5" s="3"/>
      <c r="CO5" s="3"/>
      <c r="CP5" s="3"/>
      <c r="CQ5" s="3"/>
      <c r="CR5" s="3"/>
      <c r="CS5" s="3"/>
      <c r="CT5" s="3"/>
      <c r="CU5" s="3"/>
      <c r="CV5" s="3"/>
      <c r="CW5" s="3"/>
      <c r="CX5" s="3">
        <v>11</v>
      </c>
      <c r="CY5" s="3"/>
      <c r="CZ5" s="3"/>
      <c r="DA5" s="3">
        <v>123</v>
      </c>
      <c r="DB5" s="3" t="s">
        <v>197</v>
      </c>
    </row>
    <row r="6" s="2" customFormat="1" customHeight="1" spans="2:106">
      <c r="B6" s="2">
        <v>2604</v>
      </c>
      <c r="C6" s="3">
        <v>2</v>
      </c>
      <c r="D6" s="3" t="s">
        <v>27</v>
      </c>
      <c r="E6" s="6">
        <v>44659</v>
      </c>
      <c r="F6" s="6">
        <v>44797</v>
      </c>
      <c r="G6" s="3">
        <f ca="1">G6*I6</f>
        <v>0</v>
      </c>
      <c r="H6" s="3"/>
      <c r="I6" s="3">
        <f>K6*2</f>
        <v>246</v>
      </c>
      <c r="J6" s="3" t="s">
        <v>166</v>
      </c>
      <c r="K6" s="3">
        <v>123</v>
      </c>
      <c r="L6" s="3" t="s">
        <v>166</v>
      </c>
      <c r="M6" s="3">
        <v>234</v>
      </c>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t="s">
        <v>198</v>
      </c>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v>123</v>
      </c>
      <c r="DB6" s="3"/>
    </row>
    <row r="7" s="2" customFormat="1" customHeight="1" spans="2:106">
      <c r="B7" s="2">
        <v>2605</v>
      </c>
      <c r="C7" s="3">
        <v>3</v>
      </c>
      <c r="D7" s="3" t="s">
        <v>27</v>
      </c>
      <c r="E7" s="6">
        <v>44341</v>
      </c>
      <c r="F7" s="6">
        <v>44797</v>
      </c>
      <c r="G7" s="3">
        <f ca="1">G7*I7</f>
        <v>0</v>
      </c>
      <c r="H7" s="3">
        <f>I7*J7</f>
        <v>0</v>
      </c>
      <c r="I7" s="3"/>
      <c r="J7" s="3">
        <v>31</v>
      </c>
      <c r="K7" s="3" t="s">
        <v>199</v>
      </c>
      <c r="L7" s="3" t="s">
        <v>200</v>
      </c>
      <c r="M7" s="3" t="s">
        <v>201</v>
      </c>
      <c r="N7" s="3">
        <v>11</v>
      </c>
      <c r="O7" s="3"/>
      <c r="P7" s="3"/>
      <c r="Q7" s="3"/>
      <c r="R7" s="3"/>
      <c r="S7" s="3"/>
      <c r="T7" s="3" t="s">
        <v>202</v>
      </c>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t="s">
        <v>198</v>
      </c>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v>123</v>
      </c>
      <c r="DB7" s="3"/>
    </row>
    <row r="8" s="2" customFormat="1" customHeight="1" spans="2:106">
      <c r="B8" s="2">
        <v>2606</v>
      </c>
      <c r="C8" s="3">
        <v>4</v>
      </c>
      <c r="D8" s="3" t="s">
        <v>27</v>
      </c>
      <c r="E8" s="6">
        <v>44329</v>
      </c>
      <c r="F8" s="6">
        <v>44797</v>
      </c>
      <c r="G8" s="3">
        <f ca="1">G8*I8</f>
        <v>0</v>
      </c>
      <c r="H8" s="3"/>
      <c r="I8" s="3">
        <f>K8*2</f>
        <v>2468</v>
      </c>
      <c r="J8" s="3" t="s">
        <v>199</v>
      </c>
      <c r="K8" s="3">
        <v>1234</v>
      </c>
      <c r="L8" s="3" t="s">
        <v>203</v>
      </c>
      <c r="M8" s="3" t="s">
        <v>204</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t="s">
        <v>198</v>
      </c>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v>123</v>
      </c>
      <c r="DB8" s="3"/>
    </row>
    <row r="9" s="2" customFormat="1" customHeight="1" spans="2:106">
      <c r="B9" s="2">
        <v>2607</v>
      </c>
      <c r="C9" s="3">
        <v>5</v>
      </c>
      <c r="D9" s="3" t="s">
        <v>205</v>
      </c>
      <c r="E9" s="6">
        <v>44720</v>
      </c>
      <c r="F9" s="6">
        <v>44797</v>
      </c>
      <c r="G9" s="3">
        <f ca="1">G9*I9</f>
        <v>0</v>
      </c>
      <c r="H9" s="3">
        <f>I9*J9</f>
        <v>74592</v>
      </c>
      <c r="I9" s="3">
        <f>K9*2</f>
        <v>224</v>
      </c>
      <c r="J9" s="3">
        <v>333</v>
      </c>
      <c r="K9" s="3">
        <v>112</v>
      </c>
      <c r="L9" s="3" t="s">
        <v>199</v>
      </c>
      <c r="M9" s="3" t="s">
        <v>206</v>
      </c>
      <c r="N9" s="3"/>
      <c r="O9" s="3" t="s">
        <v>207</v>
      </c>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v>123</v>
      </c>
      <c r="DB9" s="3"/>
    </row>
    <row r="10" s="2" customFormat="1" customHeight="1" spans="2:106">
      <c r="B10" s="2">
        <v>2608</v>
      </c>
      <c r="C10" s="3">
        <v>6</v>
      </c>
      <c r="D10" s="3" t="s">
        <v>27</v>
      </c>
      <c r="E10" s="6">
        <v>44146</v>
      </c>
      <c r="F10" s="6">
        <v>44797</v>
      </c>
      <c r="G10" s="3">
        <f ca="1">G10*I10</f>
        <v>0</v>
      </c>
      <c r="H10" s="3">
        <f>I10*J10</f>
        <v>0</v>
      </c>
      <c r="I10" s="3"/>
      <c r="J10" s="3">
        <v>111</v>
      </c>
      <c r="K10" s="3" t="s">
        <v>208</v>
      </c>
      <c r="L10" s="3" t="s">
        <v>209</v>
      </c>
      <c r="M10" s="3">
        <v>1112</v>
      </c>
      <c r="N10" s="3" t="s">
        <v>210</v>
      </c>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v>123</v>
      </c>
      <c r="DB10" s="3"/>
    </row>
    <row r="11" s="2" customFormat="1" customHeight="1" spans="2:106">
      <c r="B11" s="2">
        <v>2609</v>
      </c>
      <c r="C11" s="3">
        <v>7</v>
      </c>
      <c r="D11" s="3" t="s">
        <v>27</v>
      </c>
      <c r="E11" s="6">
        <v>44146</v>
      </c>
      <c r="F11" s="6">
        <v>44797</v>
      </c>
      <c r="G11" s="3">
        <f ca="1">G11*I11</f>
        <v>0</v>
      </c>
      <c r="H11" s="3">
        <f>I11*J11</f>
        <v>25530</v>
      </c>
      <c r="I11" s="3">
        <f>K11*2</f>
        <v>46</v>
      </c>
      <c r="J11" s="3">
        <v>555</v>
      </c>
      <c r="K11" s="3">
        <v>23</v>
      </c>
      <c r="L11" s="3">
        <v>22</v>
      </c>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v>123</v>
      </c>
      <c r="DB11" s="3">
        <v>11</v>
      </c>
    </row>
    <row r="12" s="2" customFormat="1" customHeight="1" spans="2:106">
      <c r="B12" s="2">
        <v>2610</v>
      </c>
      <c r="C12" s="3">
        <v>8</v>
      </c>
      <c r="D12" s="3" t="s">
        <v>27</v>
      </c>
      <c r="E12" s="6">
        <v>44103</v>
      </c>
      <c r="F12" s="6">
        <v>44797</v>
      </c>
      <c r="G12" s="3">
        <f ca="1">G12*I12</f>
        <v>0</v>
      </c>
      <c r="H12" s="3">
        <f>I12*J12</f>
        <v>2556036</v>
      </c>
      <c r="I12" s="3">
        <f>K12*2</f>
        <v>46</v>
      </c>
      <c r="J12" s="3">
        <v>55566</v>
      </c>
      <c r="K12" s="3">
        <v>23</v>
      </c>
      <c r="L12" s="3">
        <v>43534</v>
      </c>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v>123</v>
      </c>
      <c r="DB12" s="3">
        <v>123</v>
      </c>
    </row>
    <row r="13" customHeight="1" spans="2:105">
      <c r="B13" s="2">
        <v>2611</v>
      </c>
      <c r="C13" s="3">
        <v>9</v>
      </c>
      <c r="D13" s="3" t="s">
        <v>205</v>
      </c>
      <c r="E13" s="6">
        <v>44146</v>
      </c>
      <c r="F13" s="6">
        <v>44797</v>
      </c>
      <c r="G13" s="3">
        <f ca="1">G13*I13</f>
        <v>0</v>
      </c>
      <c r="H13" s="3">
        <f>I13*J13</f>
        <v>255607142</v>
      </c>
      <c r="I13" s="3">
        <f>K13*2</f>
        <v>46</v>
      </c>
      <c r="J13" s="3">
        <v>5556677</v>
      </c>
      <c r="K13" s="3">
        <v>23</v>
      </c>
      <c r="L13" s="3" t="s">
        <v>211</v>
      </c>
      <c r="M13" s="3">
        <v>234</v>
      </c>
      <c r="DA13" s="3">
        <v>1</v>
      </c>
    </row>
    <row r="14" customHeight="1" spans="2:105">
      <c r="B14" s="2">
        <v>2612</v>
      </c>
      <c r="C14" s="3">
        <v>10</v>
      </c>
      <c r="D14" s="3" t="s">
        <v>191</v>
      </c>
      <c r="E14" s="6">
        <v>44578</v>
      </c>
      <c r="F14" s="6">
        <v>44797</v>
      </c>
      <c r="G14" s="3">
        <f ca="1">G14*I14</f>
        <v>0</v>
      </c>
      <c r="H14" s="3">
        <f>I14*J14</f>
        <v>0</v>
      </c>
      <c r="J14" s="3">
        <v>23</v>
      </c>
      <c r="K14" s="3" t="s">
        <v>212</v>
      </c>
      <c r="L14" s="3" t="s">
        <v>213</v>
      </c>
      <c r="N14" s="3">
        <v>2345</v>
      </c>
      <c r="DA14" s="3">
        <v>123</v>
      </c>
    </row>
    <row r="15" customHeight="1" spans="2:105">
      <c r="B15" s="2">
        <v>2613</v>
      </c>
      <c r="C15" s="3">
        <v>11</v>
      </c>
      <c r="D15" s="3" t="s">
        <v>27</v>
      </c>
      <c r="E15" s="6">
        <v>44329</v>
      </c>
      <c r="F15" s="6">
        <v>44797</v>
      </c>
      <c r="G15" s="3">
        <f ca="1">G15*I15</f>
        <v>0</v>
      </c>
      <c r="H15" s="3">
        <f>I15*J15</f>
        <v>1058</v>
      </c>
      <c r="I15" s="3">
        <f>K15*2</f>
        <v>46</v>
      </c>
      <c r="J15" s="3">
        <v>23</v>
      </c>
      <c r="K15" s="3">
        <v>23</v>
      </c>
      <c r="N15" s="3" t="s">
        <v>214</v>
      </c>
      <c r="O15" s="3">
        <v>23456</v>
      </c>
      <c r="DA15" s="3">
        <v>123</v>
      </c>
    </row>
    <row r="16" customHeight="1" spans="2:105">
      <c r="B16" s="2">
        <v>2614</v>
      </c>
      <c r="C16" s="3">
        <v>12</v>
      </c>
      <c r="D16" s="3" t="s">
        <v>27</v>
      </c>
      <c r="E16" s="6">
        <v>44103</v>
      </c>
      <c r="F16" s="6">
        <v>44797</v>
      </c>
      <c r="G16" s="3">
        <f ca="1">G16*I16</f>
        <v>0</v>
      </c>
      <c r="H16" s="3">
        <f>I16*J16</f>
        <v>0</v>
      </c>
      <c r="K16" s="3" t="s">
        <v>215</v>
      </c>
      <c r="DA16" s="3">
        <v>1</v>
      </c>
    </row>
    <row r="17" customHeight="1" spans="2:105">
      <c r="B17" s="2">
        <v>2615</v>
      </c>
      <c r="C17" s="3">
        <v>13</v>
      </c>
      <c r="D17" s="3" t="s">
        <v>27</v>
      </c>
      <c r="E17" s="6">
        <v>44103</v>
      </c>
      <c r="F17" s="6">
        <v>44797</v>
      </c>
      <c r="G17" s="3">
        <f ca="1">G17*I17</f>
        <v>0</v>
      </c>
      <c r="H17" s="3">
        <f>I17*J17</f>
        <v>0</v>
      </c>
      <c r="K17" s="3" t="s">
        <v>216</v>
      </c>
      <c r="DA17" s="3">
        <v>123</v>
      </c>
    </row>
    <row r="18" customHeight="1" spans="2:105">
      <c r="B18" s="2">
        <v>2616</v>
      </c>
      <c r="C18" s="3">
        <v>14</v>
      </c>
      <c r="D18" s="3" t="s">
        <v>27</v>
      </c>
      <c r="E18" s="6">
        <v>44103</v>
      </c>
      <c r="F18" s="6">
        <v>44797</v>
      </c>
      <c r="G18" s="3">
        <f ca="1">G18*I18</f>
        <v>0</v>
      </c>
      <c r="H18" s="3">
        <f>I18*J18</f>
        <v>0</v>
      </c>
      <c r="I18" s="3">
        <f>K18*2</f>
        <v>13310912</v>
      </c>
      <c r="K18" s="3">
        <v>6655456</v>
      </c>
      <c r="DA18" s="3">
        <v>123</v>
      </c>
    </row>
    <row r="19" customHeight="1" spans="2:9">
      <c r="B19" s="2">
        <v>2620</v>
      </c>
      <c r="C19" s="3">
        <v>15</v>
      </c>
      <c r="D19" s="3" t="s">
        <v>27</v>
      </c>
      <c r="E19" s="6">
        <v>44056</v>
      </c>
      <c r="F19" s="6">
        <v>1</v>
      </c>
      <c r="G19" s="3">
        <f ca="1">G19*I19</f>
        <v>0</v>
      </c>
      <c r="H19" s="3">
        <f>I19*J19</f>
        <v>0</v>
      </c>
      <c r="I19" s="3">
        <f>K19*2</f>
        <v>0</v>
      </c>
    </row>
    <row r="20" customHeight="1" spans="2:9">
      <c r="B20" s="2">
        <v>2621</v>
      </c>
      <c r="C20" s="3">
        <v>16</v>
      </c>
      <c r="D20" s="3" t="s">
        <v>27</v>
      </c>
      <c r="E20" s="6">
        <v>44056</v>
      </c>
      <c r="F20" s="6">
        <v>1</v>
      </c>
      <c r="G20" s="3">
        <f ca="1">G20*I20</f>
        <v>0</v>
      </c>
      <c r="H20" s="3">
        <f>I20*J20</f>
        <v>0</v>
      </c>
      <c r="I20" s="3">
        <f>K20*2</f>
        <v>0</v>
      </c>
    </row>
    <row r="21" customHeight="1" spans="2:9">
      <c r="B21" s="2">
        <v>2622</v>
      </c>
      <c r="C21" s="3">
        <v>17</v>
      </c>
      <c r="D21" s="3" t="s">
        <v>27</v>
      </c>
      <c r="E21" s="6">
        <v>44056</v>
      </c>
      <c r="F21" s="6">
        <v>1</v>
      </c>
      <c r="G21" s="3">
        <f ca="1">G21*I21</f>
        <v>0</v>
      </c>
      <c r="H21" s="3">
        <f>I21*J21</f>
        <v>0</v>
      </c>
      <c r="I21" s="3">
        <f>K21*2</f>
        <v>0</v>
      </c>
    </row>
    <row r="22" customHeight="1" spans="2:9">
      <c r="B22" s="2">
        <v>2623</v>
      </c>
      <c r="C22" s="3">
        <v>18</v>
      </c>
      <c r="D22" s="3" t="s">
        <v>27</v>
      </c>
      <c r="E22" s="6">
        <v>44056</v>
      </c>
      <c r="F22" s="6">
        <v>1</v>
      </c>
      <c r="G22" s="3">
        <f ca="1">G22*I22</f>
        <v>0</v>
      </c>
      <c r="H22" s="3">
        <f>I22*J22</f>
        <v>0</v>
      </c>
      <c r="I22" s="3">
        <f>K22*2</f>
        <v>0</v>
      </c>
    </row>
    <row r="23" customHeight="1" spans="2:105">
      <c r="B23" s="2">
        <v>2627</v>
      </c>
      <c r="C23" s="3">
        <v>19</v>
      </c>
      <c r="D23" s="3" t="s">
        <v>27</v>
      </c>
      <c r="E23" s="6">
        <v>44146</v>
      </c>
      <c r="F23" s="6">
        <v>44797</v>
      </c>
      <c r="G23" s="3">
        <f ca="1">G23*I23</f>
        <v>0</v>
      </c>
      <c r="H23" s="3">
        <f>I23*J23</f>
        <v>0</v>
      </c>
      <c r="I23" s="3">
        <f>K23*2</f>
        <v>0</v>
      </c>
      <c r="V23" s="3">
        <v>2345</v>
      </c>
      <c r="DA23" s="3">
        <v>123</v>
      </c>
    </row>
    <row r="24" customHeight="1" spans="2:105">
      <c r="B24" s="2">
        <v>2645</v>
      </c>
      <c r="C24" s="3">
        <v>20</v>
      </c>
      <c r="D24" s="3" t="s">
        <v>27</v>
      </c>
      <c r="E24" s="6">
        <v>44146</v>
      </c>
      <c r="F24" s="6">
        <v>44797</v>
      </c>
      <c r="G24" s="3">
        <f ca="1">G24*I24</f>
        <v>0</v>
      </c>
      <c r="H24" s="3">
        <f>I24*J24</f>
        <v>0</v>
      </c>
      <c r="I24" s="3">
        <f>K24*2</f>
        <v>0</v>
      </c>
      <c r="J24" s="3">
        <v>434</v>
      </c>
      <c r="DA24" s="3">
        <v>123</v>
      </c>
    </row>
    <row r="25" customHeight="1" spans="2:9">
      <c r="B25" s="2">
        <v>2646</v>
      </c>
      <c r="C25" s="3">
        <v>21</v>
      </c>
      <c r="D25" s="3" t="s">
        <v>27</v>
      </c>
      <c r="E25" s="6">
        <v>44082</v>
      </c>
      <c r="F25" s="6">
        <v>1</v>
      </c>
      <c r="G25" s="3">
        <f ca="1">G25*I25</f>
        <v>0</v>
      </c>
      <c r="H25" s="3">
        <f>I25*J25</f>
        <v>0</v>
      </c>
      <c r="I25" s="3">
        <f>K25*2</f>
        <v>0</v>
      </c>
    </row>
    <row r="26" customHeight="1" spans="2:11">
      <c r="B26" s="2">
        <v>2647</v>
      </c>
      <c r="C26" s="3">
        <v>22</v>
      </c>
      <c r="D26" s="3" t="s">
        <v>27</v>
      </c>
      <c r="E26" s="6">
        <v>44095</v>
      </c>
      <c r="F26" s="6">
        <v>1</v>
      </c>
      <c r="G26" s="3">
        <f ca="1">G26*I26</f>
        <v>0</v>
      </c>
      <c r="H26" s="3">
        <f>I26*J26</f>
        <v>0</v>
      </c>
      <c r="I26" s="3">
        <f>K26*2</f>
        <v>468</v>
      </c>
      <c r="K26" s="3">
        <v>234</v>
      </c>
    </row>
    <row r="27" customHeight="1" spans="2:9">
      <c r="B27" s="2">
        <v>2648</v>
      </c>
      <c r="C27" s="3">
        <v>23</v>
      </c>
      <c r="D27" s="3" t="s">
        <v>27</v>
      </c>
      <c r="E27" s="6">
        <v>44082</v>
      </c>
      <c r="F27" s="6">
        <v>1</v>
      </c>
      <c r="G27" s="3">
        <f ca="1">G27*I27</f>
        <v>0</v>
      </c>
      <c r="H27" s="3">
        <f>I27*J27</f>
        <v>0</v>
      </c>
      <c r="I27" s="3">
        <f>K27*2</f>
        <v>0</v>
      </c>
    </row>
    <row r="28" customHeight="1" spans="2:10">
      <c r="B28" s="2">
        <v>2649</v>
      </c>
      <c r="C28" s="3">
        <v>24</v>
      </c>
      <c r="D28" s="3" t="s">
        <v>27</v>
      </c>
      <c r="E28" s="6">
        <v>44092</v>
      </c>
      <c r="F28" s="6">
        <v>1</v>
      </c>
      <c r="G28" s="3">
        <f ca="1">G28*I28</f>
        <v>0</v>
      </c>
      <c r="H28" s="3">
        <f>I28*J28</f>
        <v>0</v>
      </c>
      <c r="I28" s="3">
        <f>K28*2</f>
        <v>0</v>
      </c>
      <c r="J28" s="3">
        <v>32</v>
      </c>
    </row>
    <row r="29" customHeight="1" spans="2:9">
      <c r="B29" s="2">
        <v>2650</v>
      </c>
      <c r="C29" s="3">
        <v>25</v>
      </c>
      <c r="D29" s="3" t="s">
        <v>27</v>
      </c>
      <c r="E29" s="6">
        <v>44091</v>
      </c>
      <c r="F29" s="6">
        <v>1</v>
      </c>
      <c r="G29" s="3">
        <f ca="1">G29*I29</f>
        <v>0</v>
      </c>
      <c r="H29" s="3">
        <f>I29*J29</f>
        <v>0</v>
      </c>
      <c r="I29" s="3">
        <f>K29*2</f>
        <v>0</v>
      </c>
    </row>
    <row r="30" customHeight="1" spans="2:17">
      <c r="B30" s="2">
        <v>2651</v>
      </c>
      <c r="C30" s="3">
        <v>26</v>
      </c>
      <c r="D30" s="3" t="s">
        <v>27</v>
      </c>
      <c r="E30" s="6">
        <v>44091</v>
      </c>
      <c r="F30" s="6">
        <v>1</v>
      </c>
      <c r="G30" s="3">
        <f ca="1">G30*I30</f>
        <v>0</v>
      </c>
      <c r="H30" s="3">
        <f>I30*J30</f>
        <v>0</v>
      </c>
      <c r="I30" s="3">
        <f>K30*2</f>
        <v>0</v>
      </c>
      <c r="Q30" s="3">
        <v>432523</v>
      </c>
    </row>
    <row r="31" customHeight="1" spans="2:9">
      <c r="B31" s="2">
        <v>2652</v>
      </c>
      <c r="C31" s="3">
        <v>27</v>
      </c>
      <c r="D31" s="3" t="s">
        <v>27</v>
      </c>
      <c r="E31" s="6">
        <v>44091</v>
      </c>
      <c r="F31" s="6">
        <v>1</v>
      </c>
      <c r="G31" s="3">
        <f ca="1">G31*I31</f>
        <v>0</v>
      </c>
      <c r="H31" s="3">
        <f>I31*J31</f>
        <v>0</v>
      </c>
      <c r="I31" s="3">
        <f>K31*2</f>
        <v>0</v>
      </c>
    </row>
    <row r="32" customHeight="1" spans="2:12">
      <c r="B32" s="2">
        <v>2653</v>
      </c>
      <c r="C32" s="3">
        <v>28</v>
      </c>
      <c r="D32" s="3" t="s">
        <v>27</v>
      </c>
      <c r="E32" s="6">
        <v>44091</v>
      </c>
      <c r="F32" s="6">
        <v>1</v>
      </c>
      <c r="G32" s="3">
        <f ca="1">G32*I32</f>
        <v>0</v>
      </c>
      <c r="H32" s="3">
        <f>I32*J32</f>
        <v>0</v>
      </c>
      <c r="I32" s="3">
        <f>K32*2</f>
        <v>0</v>
      </c>
      <c r="L32" s="3">
        <v>1111</v>
      </c>
    </row>
    <row r="33" customHeight="1" spans="2:14">
      <c r="B33" s="2">
        <v>2654</v>
      </c>
      <c r="C33" s="3">
        <v>29</v>
      </c>
      <c r="D33" s="3" t="s">
        <v>27</v>
      </c>
      <c r="E33" s="6">
        <v>44091</v>
      </c>
      <c r="F33" s="6">
        <v>1</v>
      </c>
      <c r="G33" s="3">
        <f ca="1">G33*I33</f>
        <v>0</v>
      </c>
      <c r="H33" s="3">
        <f>I33*J33</f>
        <v>0</v>
      </c>
      <c r="I33" s="3">
        <f>K33*2</f>
        <v>0</v>
      </c>
      <c r="N33" s="3">
        <v>2152</v>
      </c>
    </row>
    <row r="34" customHeight="1" spans="2:9">
      <c r="B34" s="2">
        <v>2655</v>
      </c>
      <c r="C34" s="3">
        <v>30</v>
      </c>
      <c r="D34" s="3" t="s">
        <v>27</v>
      </c>
      <c r="E34" s="6">
        <v>44091</v>
      </c>
      <c r="F34" s="6">
        <v>1</v>
      </c>
      <c r="G34" s="3">
        <f ca="1">G34*I34</f>
        <v>0</v>
      </c>
      <c r="H34" s="3">
        <f>I34*J34</f>
        <v>0</v>
      </c>
      <c r="I34" s="3">
        <f>K34*2</f>
        <v>0</v>
      </c>
    </row>
    <row r="35" customHeight="1" spans="2:9">
      <c r="B35" s="2">
        <v>2656</v>
      </c>
      <c r="C35" s="3">
        <v>31</v>
      </c>
      <c r="D35" s="3" t="s">
        <v>27</v>
      </c>
      <c r="E35" s="6">
        <v>44091</v>
      </c>
      <c r="F35" s="6">
        <v>1</v>
      </c>
      <c r="G35" s="3">
        <f ca="1">G35*I35</f>
        <v>0</v>
      </c>
      <c r="H35" s="3">
        <f>I35*J35</f>
        <v>0</v>
      </c>
      <c r="I35" s="3">
        <f>K35*2</f>
        <v>0</v>
      </c>
    </row>
    <row r="36" customHeight="1" spans="2:9">
      <c r="B36" s="2">
        <v>2657</v>
      </c>
      <c r="C36" s="3">
        <v>32</v>
      </c>
      <c r="D36" s="3" t="s">
        <v>27</v>
      </c>
      <c r="E36" s="6">
        <v>44091</v>
      </c>
      <c r="F36" s="6">
        <v>1</v>
      </c>
      <c r="G36" s="3">
        <f ca="1">G36*I36</f>
        <v>0</v>
      </c>
      <c r="H36" s="3">
        <f>I36*J36</f>
        <v>0</v>
      </c>
      <c r="I36" s="3">
        <f>K36*2</f>
        <v>0</v>
      </c>
    </row>
    <row r="37" customHeight="1" spans="2:12">
      <c r="B37" s="2">
        <v>2658</v>
      </c>
      <c r="C37" s="3">
        <v>33</v>
      </c>
      <c r="D37" s="3" t="s">
        <v>27</v>
      </c>
      <c r="E37" s="6">
        <v>44091</v>
      </c>
      <c r="F37" s="6">
        <v>1</v>
      </c>
      <c r="G37" s="3">
        <f ca="1">G37*I37</f>
        <v>0</v>
      </c>
      <c r="H37" s="3">
        <f>I37*J37</f>
        <v>0</v>
      </c>
      <c r="I37" s="3">
        <f>K37*2</f>
        <v>0</v>
      </c>
      <c r="L37" s="3">
        <v>1213</v>
      </c>
    </row>
    <row r="38" customHeight="1" spans="2:10">
      <c r="B38" s="2">
        <v>2659</v>
      </c>
      <c r="C38" s="3">
        <v>34</v>
      </c>
      <c r="D38" s="3" t="s">
        <v>27</v>
      </c>
      <c r="E38" s="6">
        <v>44091</v>
      </c>
      <c r="F38" s="6">
        <v>1</v>
      </c>
      <c r="G38" s="3">
        <f ca="1">G38*I38</f>
        <v>0</v>
      </c>
      <c r="H38" s="3">
        <f>I38*J38</f>
        <v>0</v>
      </c>
      <c r="I38" s="3">
        <f>K38*2</f>
        <v>0</v>
      </c>
      <c r="J38" s="3">
        <v>2345</v>
      </c>
    </row>
    <row r="39" customHeight="1" spans="2:11">
      <c r="B39" s="2">
        <v>2660</v>
      </c>
      <c r="C39" s="3">
        <v>35</v>
      </c>
      <c r="D39" s="3" t="s">
        <v>27</v>
      </c>
      <c r="E39" s="6">
        <v>44091</v>
      </c>
      <c r="F39" s="6">
        <v>1</v>
      </c>
      <c r="G39" s="3">
        <f ca="1">G39*I39</f>
        <v>0</v>
      </c>
      <c r="H39" s="3">
        <f>I39*J39</f>
        <v>0</v>
      </c>
      <c r="I39" s="3">
        <f>K39*2</f>
        <v>4444</v>
      </c>
      <c r="K39" s="3">
        <v>2222</v>
      </c>
    </row>
    <row r="40" customHeight="1" spans="2:11">
      <c r="B40" s="2">
        <v>2661</v>
      </c>
      <c r="C40" s="3">
        <v>36</v>
      </c>
      <c r="D40" s="3" t="s">
        <v>27</v>
      </c>
      <c r="E40" s="6">
        <v>44091</v>
      </c>
      <c r="F40" s="6">
        <v>1</v>
      </c>
      <c r="G40" s="3">
        <f ca="1">G40*I40</f>
        <v>0</v>
      </c>
      <c r="H40" s="3">
        <f>I40*J40</f>
        <v>0</v>
      </c>
      <c r="I40" s="3">
        <f>K40*2</f>
        <v>690</v>
      </c>
      <c r="K40" s="3">
        <v>345</v>
      </c>
    </row>
    <row r="41" customHeight="1" spans="2:10">
      <c r="B41" s="2">
        <v>2662</v>
      </c>
      <c r="C41" s="3">
        <v>37</v>
      </c>
      <c r="D41" s="3" t="s">
        <v>27</v>
      </c>
      <c r="E41" s="6">
        <v>44091</v>
      </c>
      <c r="F41" s="6">
        <v>1</v>
      </c>
      <c r="G41" s="3">
        <f ca="1">G41*I41</f>
        <v>0</v>
      </c>
      <c r="H41" s="3">
        <f>I41*J41</f>
        <v>0</v>
      </c>
      <c r="I41" s="3">
        <f>K41*2</f>
        <v>0</v>
      </c>
      <c r="J41" s="3">
        <v>123334</v>
      </c>
    </row>
    <row r="42" customHeight="1" spans="2:9">
      <c r="B42" s="2">
        <v>2663</v>
      </c>
      <c r="C42" s="3">
        <v>38</v>
      </c>
      <c r="D42" s="3" t="s">
        <v>27</v>
      </c>
      <c r="E42" s="6">
        <v>44091</v>
      </c>
      <c r="F42" s="6">
        <v>1</v>
      </c>
      <c r="G42" s="3">
        <f ca="1">G42*I42</f>
        <v>0</v>
      </c>
      <c r="H42" s="3">
        <f>I42*J42</f>
        <v>0</v>
      </c>
      <c r="I42" s="3">
        <f>K42*2</f>
        <v>0</v>
      </c>
    </row>
    <row r="43" customHeight="1" spans="2:10">
      <c r="B43" s="2">
        <v>2664</v>
      </c>
      <c r="C43" s="3">
        <v>39</v>
      </c>
      <c r="D43" s="3" t="s">
        <v>27</v>
      </c>
      <c r="E43" s="6">
        <v>44091</v>
      </c>
      <c r="F43" s="6">
        <v>1</v>
      </c>
      <c r="G43" s="3">
        <f ca="1">G43*I43</f>
        <v>0</v>
      </c>
      <c r="H43" s="3">
        <f>I43*J43</f>
        <v>0</v>
      </c>
      <c r="I43" s="3">
        <f>K43*2</f>
        <v>0</v>
      </c>
      <c r="J43" s="3">
        <v>444</v>
      </c>
    </row>
    <row r="44" customHeight="1" spans="2:105">
      <c r="B44" s="2">
        <v>2665</v>
      </c>
      <c r="C44" s="3">
        <v>40</v>
      </c>
      <c r="D44" s="3" t="s">
        <v>27</v>
      </c>
      <c r="E44" s="6">
        <v>44777</v>
      </c>
      <c r="F44" s="6">
        <v>44797</v>
      </c>
      <c r="G44" s="3">
        <f ca="1">G44*I44</f>
        <v>0</v>
      </c>
      <c r="J44" s="3" t="s">
        <v>217</v>
      </c>
      <c r="K44" s="3" t="s">
        <v>218</v>
      </c>
      <c r="DA44" s="3">
        <v>123</v>
      </c>
    </row>
    <row r="45" customHeight="1" spans="2:105">
      <c r="B45" s="2">
        <v>2666</v>
      </c>
      <c r="C45" s="3">
        <v>41</v>
      </c>
      <c r="D45" s="3" t="s">
        <v>27</v>
      </c>
      <c r="E45" s="6">
        <v>44777</v>
      </c>
      <c r="F45" s="6">
        <v>44797</v>
      </c>
      <c r="G45" s="3">
        <f ca="1">G45*I45</f>
        <v>0</v>
      </c>
      <c r="I45" s="3">
        <f>K45*2</f>
        <v>0</v>
      </c>
      <c r="DA45" s="3">
        <v>123</v>
      </c>
    </row>
    <row r="46" customHeight="1" spans="2:9">
      <c r="B46" s="2">
        <v>2667</v>
      </c>
      <c r="C46" s="3">
        <v>42</v>
      </c>
      <c r="D46" s="3" t="s">
        <v>27</v>
      </c>
      <c r="E46" s="6">
        <v>44091</v>
      </c>
      <c r="F46" s="6">
        <v>1</v>
      </c>
      <c r="G46" s="3">
        <f ca="1">G46*I46</f>
        <v>0</v>
      </c>
      <c r="H46" s="3">
        <f>I46*J46</f>
        <v>0</v>
      </c>
      <c r="I46" s="3">
        <f>K46*2</f>
        <v>0</v>
      </c>
    </row>
    <row r="47" customHeight="1" spans="2:9">
      <c r="B47" s="2">
        <v>2668</v>
      </c>
      <c r="C47" s="3">
        <v>43</v>
      </c>
      <c r="D47" s="3" t="s">
        <v>27</v>
      </c>
      <c r="E47" s="6">
        <v>44091</v>
      </c>
      <c r="F47" s="6">
        <v>1</v>
      </c>
      <c r="G47" s="3">
        <f ca="1">G47*I47</f>
        <v>0</v>
      </c>
      <c r="H47" s="3">
        <f>I47*J47</f>
        <v>0</v>
      </c>
      <c r="I47" s="3">
        <f>K47*2</f>
        <v>0</v>
      </c>
    </row>
    <row r="48" customHeight="1" spans="2:9">
      <c r="B48" s="2">
        <v>2669</v>
      </c>
      <c r="C48" s="3">
        <v>44</v>
      </c>
      <c r="D48" s="3" t="s">
        <v>27</v>
      </c>
      <c r="E48" s="6">
        <v>44091</v>
      </c>
      <c r="F48" s="6">
        <v>44810</v>
      </c>
      <c r="G48" s="3">
        <f ca="1">G48*I48</f>
        <v>0</v>
      </c>
      <c r="H48" s="3">
        <f>I48*J48</f>
        <v>0</v>
      </c>
      <c r="I48" s="3">
        <f>K48*2</f>
        <v>0</v>
      </c>
    </row>
    <row r="49" customHeight="1" spans="2:9">
      <c r="B49" s="2">
        <v>2670</v>
      </c>
      <c r="C49" s="3">
        <v>45</v>
      </c>
      <c r="D49" s="3" t="s">
        <v>27</v>
      </c>
      <c r="E49" s="6">
        <v>44091</v>
      </c>
      <c r="F49" s="6">
        <v>1</v>
      </c>
      <c r="G49" s="3">
        <f ca="1">G49*I49</f>
        <v>0</v>
      </c>
      <c r="H49" s="3">
        <f>I49*J49</f>
        <v>0</v>
      </c>
      <c r="I49" s="3">
        <f>K49*2</f>
        <v>0</v>
      </c>
    </row>
    <row r="50" customHeight="1" spans="2:9">
      <c r="B50" s="2">
        <v>2671</v>
      </c>
      <c r="C50" s="3">
        <v>46</v>
      </c>
      <c r="D50" s="3" t="s">
        <v>27</v>
      </c>
      <c r="E50" s="6">
        <v>44091</v>
      </c>
      <c r="F50" s="6">
        <v>1</v>
      </c>
      <c r="G50" s="3">
        <f ca="1">G50*I50</f>
        <v>0</v>
      </c>
      <c r="H50" s="3">
        <f>I50*J50</f>
        <v>0</v>
      </c>
      <c r="I50" s="3">
        <f>K50*2</f>
        <v>0</v>
      </c>
    </row>
    <row r="51" customHeight="1" spans="2:9">
      <c r="B51" s="2">
        <v>2672</v>
      </c>
      <c r="C51" s="3">
        <v>47</v>
      </c>
      <c r="D51" s="3" t="s">
        <v>27</v>
      </c>
      <c r="E51" s="6">
        <v>44091</v>
      </c>
      <c r="F51" s="6">
        <v>1</v>
      </c>
      <c r="G51" s="3">
        <f ca="1">G51*I51</f>
        <v>0</v>
      </c>
      <c r="H51" s="3">
        <f>I51*J51</f>
        <v>0</v>
      </c>
      <c r="I51" s="3">
        <f>K51*2</f>
        <v>0</v>
      </c>
    </row>
    <row r="52" customHeight="1" spans="2:10">
      <c r="B52" s="2">
        <v>2673</v>
      </c>
      <c r="C52" s="3">
        <v>48</v>
      </c>
      <c r="D52" s="3" t="s">
        <v>27</v>
      </c>
      <c r="E52" s="6">
        <v>44091</v>
      </c>
      <c r="F52" s="6">
        <v>1</v>
      </c>
      <c r="G52" s="3">
        <f ca="1">G52*I52</f>
        <v>0</v>
      </c>
      <c r="H52" s="3">
        <f>I52*J52</f>
        <v>0</v>
      </c>
      <c r="I52" s="3">
        <f>K52*2</f>
        <v>0</v>
      </c>
      <c r="J52" s="3">
        <v>4</v>
      </c>
    </row>
    <row r="53" customHeight="1" spans="2:9">
      <c r="B53" s="2">
        <v>2674</v>
      </c>
      <c r="C53" s="3">
        <v>49</v>
      </c>
      <c r="D53" s="3" t="s">
        <v>27</v>
      </c>
      <c r="E53" s="6">
        <v>44091</v>
      </c>
      <c r="F53" s="6">
        <v>1</v>
      </c>
      <c r="G53" s="3">
        <f ca="1">G53*I53</f>
        <v>0</v>
      </c>
      <c r="H53" s="3">
        <f>I53*J53</f>
        <v>0</v>
      </c>
      <c r="I53" s="3">
        <f>K53*2</f>
        <v>0</v>
      </c>
    </row>
    <row r="54" customHeight="1" spans="2:9">
      <c r="B54" s="2">
        <v>2675</v>
      </c>
      <c r="C54" s="3">
        <v>50</v>
      </c>
      <c r="D54" s="3" t="s">
        <v>27</v>
      </c>
      <c r="E54" s="6">
        <v>44091</v>
      </c>
      <c r="F54" s="6">
        <v>1</v>
      </c>
      <c r="G54" s="3">
        <f ca="1">G54*I54</f>
        <v>0</v>
      </c>
      <c r="H54" s="3">
        <f>I54*J54</f>
        <v>0</v>
      </c>
      <c r="I54" s="3">
        <f>K54*2</f>
        <v>0</v>
      </c>
    </row>
    <row r="55" customHeight="1" spans="2:9">
      <c r="B55" s="2">
        <v>2676</v>
      </c>
      <c r="C55" s="3">
        <v>51</v>
      </c>
      <c r="D55" s="3" t="s">
        <v>27</v>
      </c>
      <c r="E55" s="6">
        <v>44091</v>
      </c>
      <c r="F55" s="6">
        <v>1</v>
      </c>
      <c r="G55" s="3">
        <f ca="1">G55*I55</f>
        <v>0</v>
      </c>
      <c r="H55" s="3">
        <f>I55*J55</f>
        <v>0</v>
      </c>
      <c r="I55" s="3">
        <f>K55*2</f>
        <v>0</v>
      </c>
    </row>
    <row r="56" customHeight="1" spans="2:9">
      <c r="B56" s="2">
        <v>2677</v>
      </c>
      <c r="C56" s="3">
        <v>52</v>
      </c>
      <c r="D56" s="3" t="s">
        <v>27</v>
      </c>
      <c r="E56" s="6">
        <v>44091</v>
      </c>
      <c r="F56" s="6">
        <v>1</v>
      </c>
      <c r="G56" s="3">
        <f ca="1">G56*I56</f>
        <v>0</v>
      </c>
      <c r="H56" s="3">
        <f>I56*J56</f>
        <v>0</v>
      </c>
      <c r="I56" s="3">
        <f>K56*2</f>
        <v>0</v>
      </c>
    </row>
    <row r="57" customHeight="1" spans="2:9">
      <c r="B57" s="2">
        <v>2678</v>
      </c>
      <c r="C57" s="3">
        <v>53</v>
      </c>
      <c r="D57" s="3" t="s">
        <v>27</v>
      </c>
      <c r="E57" s="6">
        <v>44091</v>
      </c>
      <c r="F57" s="6">
        <v>1</v>
      </c>
      <c r="G57" s="3">
        <f ca="1">G57*I57</f>
        <v>0</v>
      </c>
      <c r="H57" s="3">
        <f>I57*J57</f>
        <v>0</v>
      </c>
      <c r="I57" s="3">
        <f>K57*2</f>
        <v>0</v>
      </c>
    </row>
    <row r="58" customHeight="1" spans="2:9">
      <c r="B58" s="2">
        <v>2679</v>
      </c>
      <c r="C58" s="3">
        <v>54</v>
      </c>
      <c r="D58" s="3" t="s">
        <v>27</v>
      </c>
      <c r="E58" s="6">
        <v>44092</v>
      </c>
      <c r="F58" s="6">
        <v>1</v>
      </c>
      <c r="G58" s="3">
        <f ca="1">G58*I58</f>
        <v>0</v>
      </c>
      <c r="H58" s="3">
        <f>I58*J58</f>
        <v>0</v>
      </c>
      <c r="I58" s="3">
        <f>K58*2</f>
        <v>0</v>
      </c>
    </row>
    <row r="59" customHeight="1" spans="2:9">
      <c r="B59" s="2">
        <v>2680</v>
      </c>
      <c r="C59" s="3">
        <v>55</v>
      </c>
      <c r="D59" s="3" t="s">
        <v>27</v>
      </c>
      <c r="E59" s="6">
        <v>44092</v>
      </c>
      <c r="F59" s="6">
        <v>1</v>
      </c>
      <c r="G59" s="3">
        <f ca="1">G59*I59</f>
        <v>0</v>
      </c>
      <c r="H59" s="3">
        <f>I59*J59</f>
        <v>0</v>
      </c>
      <c r="I59" s="3">
        <f>K59*2</f>
        <v>0</v>
      </c>
    </row>
    <row r="60" customHeight="1" spans="2:106">
      <c r="B60" s="2">
        <v>2685</v>
      </c>
      <c r="C60" s="3">
        <v>56</v>
      </c>
      <c r="D60" s="3" t="s">
        <v>27</v>
      </c>
      <c r="E60" s="6">
        <v>44097</v>
      </c>
      <c r="F60" s="6">
        <v>1</v>
      </c>
      <c r="G60" s="3">
        <f ca="1">G60*I60</f>
        <v>0</v>
      </c>
      <c r="H60" s="3">
        <f>I60*J60</f>
        <v>0</v>
      </c>
      <c r="I60" s="3">
        <f>K60*2</f>
        <v>0</v>
      </c>
      <c r="DB60" s="3">
        <v>123</v>
      </c>
    </row>
    <row r="61" customHeight="1" spans="2:106">
      <c r="B61" s="2">
        <v>2697</v>
      </c>
      <c r="C61" s="3">
        <v>57</v>
      </c>
      <c r="D61" s="3" t="s">
        <v>27</v>
      </c>
      <c r="E61" s="6">
        <v>44097</v>
      </c>
      <c r="F61" s="6">
        <v>1</v>
      </c>
      <c r="G61" s="3">
        <f ca="1">G61*I61</f>
        <v>0</v>
      </c>
      <c r="H61" s="3">
        <f>I61*J61</f>
        <v>0</v>
      </c>
      <c r="I61" s="3">
        <f>K61*2</f>
        <v>0</v>
      </c>
      <c r="DB61" s="3">
        <v>123</v>
      </c>
    </row>
    <row r="62" customHeight="1" spans="2:106">
      <c r="B62" s="2">
        <v>2698</v>
      </c>
      <c r="C62" s="3">
        <v>58</v>
      </c>
      <c r="D62" s="3" t="s">
        <v>27</v>
      </c>
      <c r="E62" s="6">
        <v>44097</v>
      </c>
      <c r="F62" s="6">
        <v>1</v>
      </c>
      <c r="G62" s="3">
        <f ca="1">G62*I62</f>
        <v>0</v>
      </c>
      <c r="H62" s="3">
        <f>I62*J62</f>
        <v>0</v>
      </c>
      <c r="I62" s="3">
        <f>K62*2</f>
        <v>0</v>
      </c>
      <c r="DB62" s="3">
        <v>123</v>
      </c>
    </row>
    <row r="63" customHeight="1" spans="2:106">
      <c r="B63" s="2">
        <v>2699</v>
      </c>
      <c r="C63" s="3">
        <v>59</v>
      </c>
      <c r="D63" s="3" t="s">
        <v>27</v>
      </c>
      <c r="E63" s="6">
        <v>44097</v>
      </c>
      <c r="F63" s="6">
        <v>1</v>
      </c>
      <c r="G63" s="3">
        <f ca="1">G63*I63</f>
        <v>0</v>
      </c>
      <c r="H63" s="3">
        <f>I63*J63</f>
        <v>0</v>
      </c>
      <c r="I63" s="3">
        <f>K63*2</f>
        <v>0</v>
      </c>
      <c r="DA63" s="3">
        <v>123</v>
      </c>
      <c r="DB63" s="3">
        <v>2134</v>
      </c>
    </row>
    <row r="64" customHeight="1" spans="2:106">
      <c r="B64" s="2">
        <v>2700</v>
      </c>
      <c r="C64" s="3">
        <v>60</v>
      </c>
      <c r="D64" s="3" t="s">
        <v>27</v>
      </c>
      <c r="E64" s="6">
        <v>44097</v>
      </c>
      <c r="F64" s="6">
        <v>1</v>
      </c>
      <c r="G64" s="3">
        <f ca="1">G64*I64</f>
        <v>0</v>
      </c>
      <c r="H64" s="3">
        <f>I64*J64</f>
        <v>0</v>
      </c>
      <c r="I64" s="3">
        <f>K64*2</f>
        <v>0</v>
      </c>
      <c r="DA64" s="3">
        <v>123</v>
      </c>
      <c r="DB64" s="3">
        <v>2134</v>
      </c>
    </row>
    <row r="65" customHeight="1" spans="2:106">
      <c r="B65" s="2">
        <v>2701</v>
      </c>
      <c r="C65" s="3">
        <v>61</v>
      </c>
      <c r="D65" s="3" t="s">
        <v>27</v>
      </c>
      <c r="E65" s="6">
        <v>44097</v>
      </c>
      <c r="F65" s="6">
        <v>1</v>
      </c>
      <c r="G65" s="3">
        <f ca="1">G65*I65</f>
        <v>0</v>
      </c>
      <c r="H65" s="3">
        <f>I65*J65</f>
        <v>0</v>
      </c>
      <c r="I65" s="3">
        <f>K65*2</f>
        <v>0</v>
      </c>
      <c r="DA65" s="3">
        <v>214</v>
      </c>
      <c r="DB65" s="3">
        <v>123</v>
      </c>
    </row>
    <row r="66" customHeight="1" spans="2:106">
      <c r="B66" s="2">
        <v>2702</v>
      </c>
      <c r="C66" s="3">
        <v>62</v>
      </c>
      <c r="D66" s="3" t="s">
        <v>27</v>
      </c>
      <c r="E66" s="6">
        <v>44097</v>
      </c>
      <c r="F66" s="6">
        <v>1</v>
      </c>
      <c r="G66" s="3">
        <f ca="1">G66*I66</f>
        <v>0</v>
      </c>
      <c r="H66" s="3">
        <f>I66*J66</f>
        <v>0</v>
      </c>
      <c r="I66" s="3">
        <f>K66*2</f>
        <v>0</v>
      </c>
      <c r="DA66" s="3">
        <v>123</v>
      </c>
      <c r="DB66" s="3">
        <v>21422</v>
      </c>
    </row>
    <row r="67" customHeight="1" spans="2:106">
      <c r="B67" s="2">
        <v>2703</v>
      </c>
      <c r="C67" s="3">
        <v>63</v>
      </c>
      <c r="D67" s="3" t="s">
        <v>27</v>
      </c>
      <c r="E67" s="6">
        <v>44097</v>
      </c>
      <c r="F67" s="6">
        <v>1</v>
      </c>
      <c r="G67" s="3">
        <f ca="1">G67*I67</f>
        <v>0</v>
      </c>
      <c r="H67" s="3">
        <f>I67*J67</f>
        <v>0</v>
      </c>
      <c r="I67" s="3">
        <f>K67*2</f>
        <v>0</v>
      </c>
      <c r="DB67" s="3">
        <v>123</v>
      </c>
    </row>
    <row r="68" customHeight="1" spans="2:106">
      <c r="B68" s="2">
        <v>2704</v>
      </c>
      <c r="C68" s="3">
        <v>64</v>
      </c>
      <c r="D68" s="3" t="s">
        <v>27</v>
      </c>
      <c r="E68" s="6">
        <v>44097</v>
      </c>
      <c r="F68" s="6">
        <v>1</v>
      </c>
      <c r="G68" s="3">
        <f ca="1">G68*I68</f>
        <v>0</v>
      </c>
      <c r="H68" s="3">
        <f>I68*J68</f>
        <v>0</v>
      </c>
      <c r="I68" s="3">
        <f>K68*2</f>
        <v>0</v>
      </c>
      <c r="DB68" s="3">
        <v>123</v>
      </c>
    </row>
    <row r="69" customHeight="1" spans="2:105">
      <c r="B69" s="2">
        <v>2705</v>
      </c>
      <c r="C69" s="3">
        <v>65</v>
      </c>
      <c r="D69" s="3" t="s">
        <v>27</v>
      </c>
      <c r="E69" s="6">
        <v>44101</v>
      </c>
      <c r="F69" s="6">
        <v>44797</v>
      </c>
      <c r="G69" s="3">
        <f ca="1">G69*I69</f>
        <v>0</v>
      </c>
      <c r="H69" s="3">
        <f>I69*J69</f>
        <v>0</v>
      </c>
      <c r="J69" s="3">
        <v>33</v>
      </c>
      <c r="K69" s="3" t="s">
        <v>219</v>
      </c>
      <c r="L69" s="3" t="s">
        <v>220</v>
      </c>
      <c r="M69" s="3">
        <v>435</v>
      </c>
      <c r="O69" s="3" t="s">
        <v>167</v>
      </c>
      <c r="DA69" s="3">
        <v>123</v>
      </c>
    </row>
    <row r="70" customHeight="1" spans="2:9">
      <c r="B70" s="2">
        <v>2706</v>
      </c>
      <c r="C70" s="3">
        <v>66</v>
      </c>
      <c r="D70" s="3" t="s">
        <v>27</v>
      </c>
      <c r="E70" s="6">
        <v>44097</v>
      </c>
      <c r="F70" s="6">
        <v>1</v>
      </c>
      <c r="G70" s="3">
        <f ca="1">G70*I70</f>
        <v>0</v>
      </c>
      <c r="H70" s="3">
        <f>I70*J70</f>
        <v>0</v>
      </c>
      <c r="I70" s="3">
        <f>K70*2</f>
        <v>0</v>
      </c>
    </row>
    <row r="71" customHeight="1" spans="2:105">
      <c r="B71" s="2">
        <v>2707</v>
      </c>
      <c r="C71" s="3">
        <v>67</v>
      </c>
      <c r="D71" s="3" t="s">
        <v>27</v>
      </c>
      <c r="E71" s="6">
        <v>44101</v>
      </c>
      <c r="F71" s="6">
        <v>44797</v>
      </c>
      <c r="G71" s="3">
        <f ca="1">G71*I71</f>
        <v>0</v>
      </c>
      <c r="H71" s="3">
        <f>I71*J71</f>
        <v>0</v>
      </c>
      <c r="I71" s="3">
        <f>K71*2</f>
        <v>214</v>
      </c>
      <c r="K71" s="3">
        <v>107</v>
      </c>
      <c r="L71" s="3" t="s">
        <v>221</v>
      </c>
      <c r="M71" s="3">
        <v>435</v>
      </c>
      <c r="DA71" s="3">
        <v>12</v>
      </c>
    </row>
    <row r="72" customHeight="1" spans="2:105">
      <c r="B72" s="2">
        <v>2708</v>
      </c>
      <c r="C72" s="3">
        <v>68</v>
      </c>
      <c r="D72" s="3" t="s">
        <v>27</v>
      </c>
      <c r="E72" s="6">
        <v>44101</v>
      </c>
      <c r="F72" s="6">
        <v>44797</v>
      </c>
      <c r="G72" s="3">
        <f ca="1">G72*I72</f>
        <v>0</v>
      </c>
      <c r="H72" s="3">
        <f>I72*J72</f>
        <v>378450</v>
      </c>
      <c r="I72" s="3">
        <f>K72*2</f>
        <v>870</v>
      </c>
      <c r="J72" s="3">
        <v>435</v>
      </c>
      <c r="K72" s="3">
        <v>435</v>
      </c>
      <c r="L72" s="3">
        <v>435</v>
      </c>
      <c r="M72" s="3">
        <v>435</v>
      </c>
      <c r="N72" s="3" t="s">
        <v>203</v>
      </c>
      <c r="DA72" s="3">
        <v>12</v>
      </c>
    </row>
    <row r="73" customHeight="1" spans="2:105">
      <c r="B73" s="2">
        <v>2709</v>
      </c>
      <c r="C73" s="3">
        <v>69</v>
      </c>
      <c r="D73" s="3" t="s">
        <v>27</v>
      </c>
      <c r="E73" s="6">
        <v>44097</v>
      </c>
      <c r="F73" s="6">
        <v>44797</v>
      </c>
      <c r="G73" s="3">
        <f ca="1">G73*I73</f>
        <v>0</v>
      </c>
      <c r="H73" s="3">
        <f>I73*J73</f>
        <v>0</v>
      </c>
      <c r="I73" s="3">
        <f>K73*2</f>
        <v>0</v>
      </c>
      <c r="DA73" s="3">
        <v>123</v>
      </c>
    </row>
    <row r="74" customHeight="1" spans="2:105">
      <c r="B74" s="2">
        <v>2710</v>
      </c>
      <c r="C74" s="3">
        <v>70</v>
      </c>
      <c r="D74" s="3" t="s">
        <v>27</v>
      </c>
      <c r="E74" s="6">
        <v>44101</v>
      </c>
      <c r="F74" s="6">
        <v>44797</v>
      </c>
      <c r="G74" s="3">
        <f ca="1">G74*I74</f>
        <v>0</v>
      </c>
      <c r="H74" s="3">
        <f>I74*J74</f>
        <v>0</v>
      </c>
      <c r="I74" s="3">
        <f>K74*2</f>
        <v>0</v>
      </c>
      <c r="DA74" s="3">
        <v>123</v>
      </c>
    </row>
    <row r="75" customHeight="1" spans="2:105">
      <c r="B75" s="2">
        <v>2711</v>
      </c>
      <c r="C75" s="3">
        <v>71</v>
      </c>
      <c r="D75" s="3" t="s">
        <v>27</v>
      </c>
      <c r="E75" s="6">
        <v>44101</v>
      </c>
      <c r="F75" s="6">
        <v>44797</v>
      </c>
      <c r="G75" s="3">
        <f ca="1">G75*I75</f>
        <v>0</v>
      </c>
      <c r="H75" s="3">
        <f>I75*J75</f>
        <v>0</v>
      </c>
      <c r="I75" s="3">
        <f>K75*2</f>
        <v>0</v>
      </c>
      <c r="J75" s="3">
        <v>666</v>
      </c>
      <c r="L75" s="3" t="s">
        <v>82</v>
      </c>
      <c r="CG75" s="3" t="s">
        <v>66</v>
      </c>
      <c r="DA75" s="3">
        <v>123</v>
      </c>
    </row>
    <row r="76" customHeight="1" spans="2:17">
      <c r="B76" s="2">
        <v>2714</v>
      </c>
      <c r="C76" s="3">
        <v>72</v>
      </c>
      <c r="D76" s="3" t="s">
        <v>222</v>
      </c>
      <c r="E76" s="6">
        <v>44097</v>
      </c>
      <c r="F76" s="6">
        <v>1</v>
      </c>
      <c r="G76" s="3">
        <f ca="1">G76*I76</f>
        <v>0</v>
      </c>
      <c r="H76" s="3">
        <f>I76*J76</f>
        <v>0</v>
      </c>
      <c r="I76" s="3">
        <f>K76*2</f>
        <v>0</v>
      </c>
      <c r="P76" s="3" t="s">
        <v>203</v>
      </c>
      <c r="Q76" s="3">
        <v>255</v>
      </c>
    </row>
    <row r="77" customHeight="1" spans="2:17">
      <c r="B77" s="2">
        <v>2715</v>
      </c>
      <c r="C77" s="3">
        <v>73</v>
      </c>
      <c r="D77" s="3" t="s">
        <v>222</v>
      </c>
      <c r="E77" s="6">
        <v>44097</v>
      </c>
      <c r="F77" s="6">
        <v>1</v>
      </c>
      <c r="G77" s="3">
        <f ca="1">G77*I77</f>
        <v>0</v>
      </c>
      <c r="H77" s="3">
        <f>I77*J77</f>
        <v>0</v>
      </c>
      <c r="I77" s="3">
        <f>K77*2</f>
        <v>0</v>
      </c>
      <c r="Q77" s="3" t="s">
        <v>223</v>
      </c>
    </row>
    <row r="78" customHeight="1" spans="2:9">
      <c r="B78" s="2">
        <v>2716</v>
      </c>
      <c r="C78" s="3">
        <v>74</v>
      </c>
      <c r="D78" s="3" t="s">
        <v>224</v>
      </c>
      <c r="E78" s="6">
        <v>44097</v>
      </c>
      <c r="F78" s="6">
        <v>1</v>
      </c>
      <c r="G78" s="3">
        <f ca="1">G78*I78</f>
        <v>0</v>
      </c>
      <c r="H78" s="3">
        <f>I78*J78</f>
        <v>0</v>
      </c>
      <c r="I78" s="3">
        <f>K78*2</f>
        <v>0</v>
      </c>
    </row>
    <row r="79" customHeight="1" spans="2:9">
      <c r="B79" s="2">
        <v>2717</v>
      </c>
      <c r="C79" s="3">
        <v>75</v>
      </c>
      <c r="D79" s="3" t="s">
        <v>224</v>
      </c>
      <c r="E79" s="6">
        <v>44097</v>
      </c>
      <c r="F79" s="6">
        <v>1</v>
      </c>
      <c r="G79" s="3">
        <f ca="1">G79*I79</f>
        <v>0</v>
      </c>
      <c r="H79" s="3">
        <f>I79*J79</f>
        <v>0</v>
      </c>
      <c r="I79" s="3">
        <f>K79*2</f>
        <v>0</v>
      </c>
    </row>
    <row r="80" customHeight="1" spans="2:10">
      <c r="B80" s="2">
        <v>2718</v>
      </c>
      <c r="C80" s="3">
        <v>76</v>
      </c>
      <c r="D80" s="3" t="s">
        <v>224</v>
      </c>
      <c r="E80" s="6">
        <v>44097</v>
      </c>
      <c r="F80" s="6">
        <v>1</v>
      </c>
      <c r="G80" s="3">
        <f ca="1">G80*I80</f>
        <v>0</v>
      </c>
      <c r="H80" s="3">
        <f>I80*J80</f>
        <v>0</v>
      </c>
      <c r="I80" s="3">
        <f>K80*2</f>
        <v>0</v>
      </c>
      <c r="J80" s="3">
        <v>343</v>
      </c>
    </row>
    <row r="81" customHeight="1" spans="2:10">
      <c r="B81" s="2">
        <v>2719</v>
      </c>
      <c r="C81" s="3">
        <v>77</v>
      </c>
      <c r="D81" s="3" t="s">
        <v>224</v>
      </c>
      <c r="E81" s="6">
        <v>44097</v>
      </c>
      <c r="F81" s="6">
        <v>1</v>
      </c>
      <c r="G81" s="3">
        <f ca="1">G81*I81</f>
        <v>0</v>
      </c>
      <c r="H81" s="3">
        <f>I81*J81</f>
        <v>0</v>
      </c>
      <c r="I81" s="3">
        <f>K81*2</f>
        <v>0</v>
      </c>
      <c r="J81" s="3">
        <v>355</v>
      </c>
    </row>
    <row r="82" customHeight="1" spans="2:9">
      <c r="B82" s="2">
        <v>2720</v>
      </c>
      <c r="C82" s="3">
        <v>78</v>
      </c>
      <c r="D82" s="3" t="s">
        <v>224</v>
      </c>
      <c r="E82" s="6">
        <v>44097</v>
      </c>
      <c r="F82" s="6">
        <v>1</v>
      </c>
      <c r="G82" s="3">
        <f ca="1">G82*I82</f>
        <v>0</v>
      </c>
      <c r="H82" s="3">
        <f>I82*J82</f>
        <v>0</v>
      </c>
      <c r="I82" s="3">
        <f>K82*2</f>
        <v>0</v>
      </c>
    </row>
    <row r="83" customHeight="1" spans="2:105">
      <c r="B83" s="2">
        <v>2721</v>
      </c>
      <c r="C83" s="3">
        <v>79</v>
      </c>
      <c r="D83" s="3" t="s">
        <v>27</v>
      </c>
      <c r="E83" s="6">
        <v>44123</v>
      </c>
      <c r="F83" s="6">
        <v>44797</v>
      </c>
      <c r="G83" s="3">
        <f ca="1">G83*I83</f>
        <v>0</v>
      </c>
      <c r="H83" s="3">
        <f>I83*J83</f>
        <v>0</v>
      </c>
      <c r="I83" s="3">
        <f>K83*2</f>
        <v>0</v>
      </c>
      <c r="L83" s="3" t="s">
        <v>225</v>
      </c>
      <c r="AI83" s="3" t="s">
        <v>226</v>
      </c>
      <c r="DA83" s="3">
        <v>1</v>
      </c>
    </row>
    <row r="84" customHeight="1" spans="2:105">
      <c r="B84" s="2">
        <v>2722</v>
      </c>
      <c r="C84" s="3">
        <v>80</v>
      </c>
      <c r="D84" s="3" t="s">
        <v>227</v>
      </c>
      <c r="E84" s="6">
        <v>44097</v>
      </c>
      <c r="F84" s="6">
        <v>44797</v>
      </c>
      <c r="G84" s="3">
        <f ca="1">G84*I84</f>
        <v>0</v>
      </c>
      <c r="H84" s="3">
        <f>I84*J84</f>
        <v>0</v>
      </c>
      <c r="K84" s="3" t="s">
        <v>228</v>
      </c>
      <c r="AI84" s="3" t="s">
        <v>66</v>
      </c>
      <c r="DA84" s="3">
        <v>123</v>
      </c>
    </row>
    <row r="85" customHeight="1" spans="2:9">
      <c r="B85" s="2">
        <v>2723</v>
      </c>
      <c r="C85" s="3">
        <v>81</v>
      </c>
      <c r="D85" s="3" t="s">
        <v>227</v>
      </c>
      <c r="E85" s="6">
        <v>44097</v>
      </c>
      <c r="F85" s="6">
        <v>1</v>
      </c>
      <c r="G85" s="3">
        <f ca="1">G85*I85</f>
        <v>0</v>
      </c>
      <c r="H85" s="3">
        <f>I85*J85</f>
        <v>0</v>
      </c>
      <c r="I85" s="3">
        <f>K85*2</f>
        <v>0</v>
      </c>
    </row>
    <row r="86" customHeight="1" spans="2:85">
      <c r="B86" s="2">
        <v>2724</v>
      </c>
      <c r="C86" s="3">
        <v>82</v>
      </c>
      <c r="D86" s="3" t="s">
        <v>227</v>
      </c>
      <c r="E86" s="6">
        <v>44097</v>
      </c>
      <c r="F86" s="6">
        <v>1</v>
      </c>
      <c r="G86" s="3">
        <f ca="1">G86*I86</f>
        <v>0</v>
      </c>
      <c r="H86" s="3">
        <f>I86*J86</f>
        <v>0</v>
      </c>
      <c r="K86" s="3" t="s">
        <v>228</v>
      </c>
      <c r="CG86" s="3" t="s">
        <v>66</v>
      </c>
    </row>
    <row r="87" customHeight="1" spans="2:9">
      <c r="B87" s="2">
        <v>2725</v>
      </c>
      <c r="C87" s="3">
        <v>83</v>
      </c>
      <c r="D87" s="3" t="s">
        <v>227</v>
      </c>
      <c r="E87" s="6">
        <v>44097</v>
      </c>
      <c r="F87" s="6">
        <v>1</v>
      </c>
      <c r="G87" s="3">
        <f ca="1">G87*I87</f>
        <v>0</v>
      </c>
      <c r="H87" s="3">
        <f>I87*J87</f>
        <v>0</v>
      </c>
      <c r="I87" s="3">
        <f>K87*2</f>
        <v>0</v>
      </c>
    </row>
    <row r="88" customHeight="1" spans="2:9">
      <c r="B88" s="2">
        <v>2726</v>
      </c>
      <c r="C88" s="3">
        <v>84</v>
      </c>
      <c r="D88" s="3" t="s">
        <v>227</v>
      </c>
      <c r="E88" s="6">
        <v>44097</v>
      </c>
      <c r="F88" s="6">
        <v>1</v>
      </c>
      <c r="G88" s="3">
        <f ca="1">G88*I88</f>
        <v>0</v>
      </c>
      <c r="H88" s="3">
        <f>I88*J88</f>
        <v>0</v>
      </c>
      <c r="I88" s="3">
        <f>K88*2</f>
        <v>0</v>
      </c>
    </row>
    <row r="89" customHeight="1" spans="2:10">
      <c r="B89" s="2">
        <v>2727</v>
      </c>
      <c r="C89" s="3">
        <v>85</v>
      </c>
      <c r="D89" s="3" t="s">
        <v>224</v>
      </c>
      <c r="E89" s="6">
        <v>44097</v>
      </c>
      <c r="F89" s="6">
        <v>1</v>
      </c>
      <c r="G89" s="3">
        <f ca="1">G89*I89</f>
        <v>0</v>
      </c>
      <c r="H89" s="3">
        <f>I89*J89</f>
        <v>0</v>
      </c>
      <c r="I89" s="3">
        <f>K89*2</f>
        <v>0</v>
      </c>
      <c r="J89" s="3">
        <v>35</v>
      </c>
    </row>
    <row r="90" customHeight="1" spans="2:105">
      <c r="B90" s="2">
        <v>2905</v>
      </c>
      <c r="C90" s="3">
        <v>86</v>
      </c>
      <c r="D90" s="3" t="s">
        <v>27</v>
      </c>
      <c r="E90" s="6">
        <v>44779</v>
      </c>
      <c r="F90" s="6">
        <v>44797</v>
      </c>
      <c r="G90" s="3">
        <f ca="1">G90*I90</f>
        <v>0</v>
      </c>
      <c r="H90" s="3">
        <f>I90*J90</f>
        <v>0</v>
      </c>
      <c r="I90" s="3">
        <f>K90*2</f>
        <v>0</v>
      </c>
      <c r="DA90" s="3">
        <v>123</v>
      </c>
    </row>
    <row r="91" customHeight="1" spans="2:105">
      <c r="B91" s="2">
        <v>2907</v>
      </c>
      <c r="C91" s="3">
        <v>87</v>
      </c>
      <c r="D91" s="3" t="s">
        <v>27</v>
      </c>
      <c r="E91" s="6">
        <v>44793</v>
      </c>
      <c r="F91" s="6">
        <v>44874</v>
      </c>
      <c r="G91" s="3">
        <f ca="1">G91*I91</f>
        <v>0</v>
      </c>
      <c r="H91" s="3">
        <f>I91*J91</f>
        <v>0</v>
      </c>
      <c r="I91" s="3">
        <f>K91*2</f>
        <v>0</v>
      </c>
      <c r="DA91" s="3">
        <v>123</v>
      </c>
    </row>
    <row r="92" customHeight="1" spans="2:105">
      <c r="B92" s="2">
        <v>2908</v>
      </c>
      <c r="C92" s="3">
        <v>88</v>
      </c>
      <c r="D92" s="3" t="s">
        <v>27</v>
      </c>
      <c r="E92" s="6">
        <v>44793</v>
      </c>
      <c r="F92" s="6">
        <v>44797</v>
      </c>
      <c r="G92" s="3">
        <f ca="1">G92*I92</f>
        <v>0</v>
      </c>
      <c r="H92" s="3">
        <f>I92*J92</f>
        <v>0</v>
      </c>
      <c r="I92" s="3">
        <f>K92*2</f>
        <v>0</v>
      </c>
      <c r="DA92" s="3">
        <v>123</v>
      </c>
    </row>
    <row r="93" customHeight="1" spans="2:10">
      <c r="B93" s="2">
        <v>2915</v>
      </c>
      <c r="C93" s="3">
        <v>89</v>
      </c>
      <c r="D93" s="3" t="s">
        <v>27</v>
      </c>
      <c r="E93" s="6">
        <v>44812</v>
      </c>
      <c r="F93" s="6">
        <v>44813</v>
      </c>
      <c r="G93" s="3">
        <f ca="1">G93*I93</f>
        <v>0</v>
      </c>
      <c r="H93" s="3">
        <f>I93*J93</f>
        <v>0</v>
      </c>
      <c r="I93" s="3">
        <f>K93*2</f>
        <v>0</v>
      </c>
      <c r="J93" s="3">
        <v>3</v>
      </c>
    </row>
    <row r="94" customHeight="1" spans="5:6">
      <c r="E94" s="6"/>
      <c r="F94" s="6"/>
    </row>
    <row r="95" customHeight="1" spans="5:6">
      <c r="E95" s="6"/>
      <c r="F95" s="6"/>
    </row>
    <row r="96" customHeight="1" spans="5:6">
      <c r="E96" s="6"/>
      <c r="F96" s="6"/>
    </row>
    <row r="97" customHeight="1" spans="5:6">
      <c r="E97" s="6"/>
      <c r="F97" s="6"/>
    </row>
  </sheetData>
  <conditionalFormatting sqref="N5:N1048576">
    <cfRule type="expression" dxfId="0" priority="93">
      <formula>MOD(ROW(),2)=0</formula>
    </cfRule>
  </conditionalFormatting>
  <conditionalFormatting sqref="O5:O1048576">
    <cfRule type="expression" dxfId="0" priority="92">
      <formula>MOD(ROW(),2)=0</formula>
    </cfRule>
  </conditionalFormatting>
  <conditionalFormatting sqref="P5:P1048576">
    <cfRule type="expression" dxfId="0" priority="91">
      <formula>MOD(ROW(),2)=0</formula>
    </cfRule>
  </conditionalFormatting>
  <conditionalFormatting sqref="Q5:Q1048576">
    <cfRule type="expression" dxfId="0" priority="90">
      <formula>MOD(ROW(),2)=0</formula>
    </cfRule>
  </conditionalFormatting>
  <conditionalFormatting sqref="R5:R1048576">
    <cfRule type="expression" dxfId="0" priority="89">
      <formula>MOD(ROW(),2)=0</formula>
    </cfRule>
  </conditionalFormatting>
  <conditionalFormatting sqref="S5:S1048576">
    <cfRule type="expression" dxfId="0" priority="88">
      <formula>MOD(ROW(),2)=0</formula>
    </cfRule>
  </conditionalFormatting>
  <conditionalFormatting sqref="T5:T1048576">
    <cfRule type="expression" dxfId="0" priority="87">
      <formula>MOD(ROW(),2)=0</formula>
    </cfRule>
  </conditionalFormatting>
  <conditionalFormatting sqref="U5:U1048576">
    <cfRule type="expression" dxfId="0" priority="86">
      <formula>MOD(ROW(),2)=0</formula>
    </cfRule>
  </conditionalFormatting>
  <conditionalFormatting sqref="V5:V1048576">
    <cfRule type="expression" dxfId="0" priority="85">
      <formula>MOD(ROW(),2)=0</formula>
    </cfRule>
  </conditionalFormatting>
  <conditionalFormatting sqref="W5:W1048576">
    <cfRule type="expression" dxfId="0" priority="84">
      <formula>MOD(ROW(),2)=0</formula>
    </cfRule>
  </conditionalFormatting>
  <conditionalFormatting sqref="X5:X1048576">
    <cfRule type="expression" dxfId="0" priority="83">
      <formula>MOD(ROW(),2)=0</formula>
    </cfRule>
  </conditionalFormatting>
  <conditionalFormatting sqref="Y5:Y1048576">
    <cfRule type="expression" dxfId="0" priority="82">
      <formula>MOD(ROW(),2)=0</formula>
    </cfRule>
  </conditionalFormatting>
  <conditionalFormatting sqref="Z5:Z1048576">
    <cfRule type="expression" dxfId="0" priority="81">
      <formula>MOD(ROW(),2)=0</formula>
    </cfRule>
  </conditionalFormatting>
  <conditionalFormatting sqref="AA5:AA1048576">
    <cfRule type="expression" dxfId="0" priority="80">
      <formula>MOD(ROW(),2)=0</formula>
    </cfRule>
  </conditionalFormatting>
  <conditionalFormatting sqref="AB5:AB1048576">
    <cfRule type="expression" dxfId="0" priority="79">
      <formula>MOD(ROW(),2)=0</formula>
    </cfRule>
  </conditionalFormatting>
  <conditionalFormatting sqref="AC5:AC1048576">
    <cfRule type="expression" dxfId="0" priority="78">
      <formula>MOD(ROW(),2)=0</formula>
    </cfRule>
  </conditionalFormatting>
  <conditionalFormatting sqref="AD5:AD1048576">
    <cfRule type="expression" dxfId="0" priority="77">
      <formula>MOD(ROW(),2)=0</formula>
    </cfRule>
  </conditionalFormatting>
  <conditionalFormatting sqref="AE5:AE1048576">
    <cfRule type="expression" dxfId="0" priority="76">
      <formula>MOD(ROW(),2)=0</formula>
    </cfRule>
  </conditionalFormatting>
  <conditionalFormatting sqref="AF5:AF1048576">
    <cfRule type="expression" dxfId="0" priority="75">
      <formula>MOD(ROW(),2)=0</formula>
    </cfRule>
  </conditionalFormatting>
  <conditionalFormatting sqref="AG5:AG1048576">
    <cfRule type="expression" dxfId="0" priority="74">
      <formula>MOD(ROW(),2)=0</formula>
    </cfRule>
  </conditionalFormatting>
  <conditionalFormatting sqref="AH5:AH1048576">
    <cfRule type="expression" dxfId="0" priority="73">
      <formula>MOD(ROW(),2)=0</formula>
    </cfRule>
  </conditionalFormatting>
  <conditionalFormatting sqref="AI5:AI1048576">
    <cfRule type="expression" dxfId="0" priority="72">
      <formula>MOD(ROW(),2)=0</formula>
    </cfRule>
  </conditionalFormatting>
  <conditionalFormatting sqref="AJ5:AJ1048576">
    <cfRule type="expression" dxfId="0" priority="71">
      <formula>MOD(ROW(),2)=0</formula>
    </cfRule>
  </conditionalFormatting>
  <conditionalFormatting sqref="AK5:AK1048576">
    <cfRule type="expression" dxfId="0" priority="70">
      <formula>MOD(ROW(),2)=0</formula>
    </cfRule>
  </conditionalFormatting>
  <conditionalFormatting sqref="AL5:AL1048576">
    <cfRule type="expression" dxfId="0" priority="69">
      <formula>MOD(ROW(),2)=0</formula>
    </cfRule>
  </conditionalFormatting>
  <conditionalFormatting sqref="AM5:AM1048576">
    <cfRule type="expression" dxfId="0" priority="68">
      <formula>MOD(ROW(),2)=0</formula>
    </cfRule>
  </conditionalFormatting>
  <conditionalFormatting sqref="AN5:AN1048576">
    <cfRule type="expression" dxfId="0" priority="67">
      <formula>MOD(ROW(),2)=0</formula>
    </cfRule>
  </conditionalFormatting>
  <conditionalFormatting sqref="AO5:AO1048576">
    <cfRule type="expression" dxfId="0" priority="66">
      <formula>MOD(ROW(),2)=0</formula>
    </cfRule>
  </conditionalFormatting>
  <conditionalFormatting sqref="AP5:AP1048576">
    <cfRule type="expression" dxfId="0" priority="65">
      <formula>MOD(ROW(),2)=0</formula>
    </cfRule>
  </conditionalFormatting>
  <conditionalFormatting sqref="AQ5:AQ1048576">
    <cfRule type="expression" dxfId="0" priority="64">
      <formula>MOD(ROW(),2)=0</formula>
    </cfRule>
  </conditionalFormatting>
  <conditionalFormatting sqref="AR5:AR1048576">
    <cfRule type="expression" dxfId="0" priority="63">
      <formula>MOD(ROW(),2)=0</formula>
    </cfRule>
  </conditionalFormatting>
  <conditionalFormatting sqref="AS5:AS1048576">
    <cfRule type="expression" dxfId="0" priority="62">
      <formula>MOD(ROW(),2)=0</formula>
    </cfRule>
  </conditionalFormatting>
  <conditionalFormatting sqref="AT5:AT1048576">
    <cfRule type="expression" dxfId="0" priority="61">
      <formula>MOD(ROW(),2)=0</formula>
    </cfRule>
  </conditionalFormatting>
  <conditionalFormatting sqref="AU5:AU1048576">
    <cfRule type="expression" dxfId="0" priority="60">
      <formula>MOD(ROW(),2)=0</formula>
    </cfRule>
  </conditionalFormatting>
  <conditionalFormatting sqref="AV5:AV1048576">
    <cfRule type="expression" dxfId="0" priority="59">
      <formula>MOD(ROW(),2)=0</formula>
    </cfRule>
  </conditionalFormatting>
  <conditionalFormatting sqref="AW5:AW1048576">
    <cfRule type="expression" dxfId="0" priority="58">
      <formula>MOD(ROW(),2)=0</formula>
    </cfRule>
  </conditionalFormatting>
  <conditionalFormatting sqref="AX5:AX1048576">
    <cfRule type="expression" dxfId="0" priority="57">
      <formula>MOD(ROW(),2)=0</formula>
    </cfRule>
  </conditionalFormatting>
  <conditionalFormatting sqref="AY5:AY1048576">
    <cfRule type="expression" dxfId="0" priority="56">
      <formula>MOD(ROW(),2)=0</formula>
    </cfRule>
  </conditionalFormatting>
  <conditionalFormatting sqref="AZ5:AZ1048576">
    <cfRule type="expression" dxfId="0" priority="55">
      <formula>MOD(ROW(),2)=0</formula>
    </cfRule>
  </conditionalFormatting>
  <conditionalFormatting sqref="BA5:BA1048576">
    <cfRule type="expression" dxfId="0" priority="54">
      <formula>MOD(ROW(),2)=0</formula>
    </cfRule>
  </conditionalFormatting>
  <conditionalFormatting sqref="BB5:BB1048576">
    <cfRule type="expression" dxfId="0" priority="53">
      <formula>MOD(ROW(),2)=0</formula>
    </cfRule>
  </conditionalFormatting>
  <conditionalFormatting sqref="BC5:BC1048576">
    <cfRule type="expression" dxfId="0" priority="52">
      <formula>MOD(ROW(),2)=0</formula>
    </cfRule>
  </conditionalFormatting>
  <conditionalFormatting sqref="BD5:BD1048576">
    <cfRule type="expression" dxfId="0" priority="51">
      <formula>MOD(ROW(),2)=0</formula>
    </cfRule>
  </conditionalFormatting>
  <conditionalFormatting sqref="BE5:BE1048576">
    <cfRule type="expression" dxfId="0" priority="50">
      <formula>MOD(ROW(),2)=0</formula>
    </cfRule>
  </conditionalFormatting>
  <conditionalFormatting sqref="BF5:BF1048576">
    <cfRule type="expression" dxfId="0" priority="49">
      <formula>MOD(ROW(),2)=0</formula>
    </cfRule>
  </conditionalFormatting>
  <conditionalFormatting sqref="BG5:BG1048576">
    <cfRule type="expression" dxfId="0" priority="48">
      <formula>MOD(ROW(),2)=0</formula>
    </cfRule>
  </conditionalFormatting>
  <conditionalFormatting sqref="BH5:BH1048576">
    <cfRule type="expression" dxfId="0" priority="47">
      <formula>MOD(ROW(),2)=0</formula>
    </cfRule>
  </conditionalFormatting>
  <conditionalFormatting sqref="BI5:BI1048576">
    <cfRule type="expression" dxfId="0" priority="46">
      <formula>MOD(ROW(),2)=0</formula>
    </cfRule>
  </conditionalFormatting>
  <conditionalFormatting sqref="BJ5:BJ1048576">
    <cfRule type="expression" dxfId="0" priority="45">
      <formula>MOD(ROW(),2)=0</formula>
    </cfRule>
  </conditionalFormatting>
  <conditionalFormatting sqref="BK5:BK1048576">
    <cfRule type="expression" dxfId="0" priority="44">
      <formula>MOD(ROW(),2)=0</formula>
    </cfRule>
  </conditionalFormatting>
  <conditionalFormatting sqref="BL5:BL1048576">
    <cfRule type="expression" dxfId="0" priority="43">
      <formula>MOD(ROW(),2)=0</formula>
    </cfRule>
  </conditionalFormatting>
  <conditionalFormatting sqref="BM5:BM1048576">
    <cfRule type="expression" dxfId="0" priority="42">
      <formula>MOD(ROW(),2)=0</formula>
    </cfRule>
  </conditionalFormatting>
  <conditionalFormatting sqref="BN5:BN1048576">
    <cfRule type="expression" dxfId="0" priority="41">
      <formula>MOD(ROW(),2)=0</formula>
    </cfRule>
  </conditionalFormatting>
  <conditionalFormatting sqref="BO5:BO1048576">
    <cfRule type="expression" dxfId="0" priority="40">
      <formula>MOD(ROW(),2)=0</formula>
    </cfRule>
  </conditionalFormatting>
  <conditionalFormatting sqref="BP5:BP1048576">
    <cfRule type="expression" dxfId="0" priority="39">
      <formula>MOD(ROW(),2)=0</formula>
    </cfRule>
  </conditionalFormatting>
  <conditionalFormatting sqref="BQ5:BQ1048576">
    <cfRule type="expression" dxfId="0" priority="38">
      <formula>MOD(ROW(),2)=0</formula>
    </cfRule>
  </conditionalFormatting>
  <conditionalFormatting sqref="BR5:BR1048576">
    <cfRule type="expression" dxfId="0" priority="37">
      <formula>MOD(ROW(),2)=0</formula>
    </cfRule>
  </conditionalFormatting>
  <conditionalFormatting sqref="BS5:BS1048576">
    <cfRule type="expression" dxfId="0" priority="36">
      <formula>MOD(ROW(),2)=0</formula>
    </cfRule>
  </conditionalFormatting>
  <conditionalFormatting sqref="BT5:BT1048576">
    <cfRule type="expression" dxfId="0" priority="35">
      <formula>MOD(ROW(),2)=0</formula>
    </cfRule>
  </conditionalFormatting>
  <conditionalFormatting sqref="BU5:BU1048576">
    <cfRule type="expression" dxfId="0" priority="34">
      <formula>MOD(ROW(),2)=0</formula>
    </cfRule>
  </conditionalFormatting>
  <conditionalFormatting sqref="BV5:BV1048576">
    <cfRule type="expression" dxfId="0" priority="33">
      <formula>MOD(ROW(),2)=0</formula>
    </cfRule>
  </conditionalFormatting>
  <conditionalFormatting sqref="BW5:BW1048576">
    <cfRule type="expression" dxfId="0" priority="32">
      <formula>MOD(ROW(),2)=0</formula>
    </cfRule>
  </conditionalFormatting>
  <conditionalFormatting sqref="BX5:BX1048576">
    <cfRule type="expression" dxfId="0" priority="31">
      <formula>MOD(ROW(),2)=0</formula>
    </cfRule>
  </conditionalFormatting>
  <conditionalFormatting sqref="BY5:BY1048576">
    <cfRule type="expression" dxfId="0" priority="30">
      <formula>MOD(ROW(),2)=0</formula>
    </cfRule>
  </conditionalFormatting>
  <conditionalFormatting sqref="BZ5:BZ1048576">
    <cfRule type="expression" dxfId="0" priority="29">
      <formula>MOD(ROW(),2)=0</formula>
    </cfRule>
  </conditionalFormatting>
  <conditionalFormatting sqref="CA5:CA1048576">
    <cfRule type="expression" dxfId="0" priority="28">
      <formula>MOD(ROW(),2)=0</formula>
    </cfRule>
  </conditionalFormatting>
  <conditionalFormatting sqref="CB5:CB1048576">
    <cfRule type="expression" dxfId="0" priority="27">
      <formula>MOD(ROW(),2)=0</formula>
    </cfRule>
  </conditionalFormatting>
  <conditionalFormatting sqref="CC5:CC1048576">
    <cfRule type="expression" dxfId="0" priority="26">
      <formula>MOD(ROW(),2)=0</formula>
    </cfRule>
  </conditionalFormatting>
  <conditionalFormatting sqref="CD5:CD1048576">
    <cfRule type="expression" dxfId="0" priority="25">
      <formula>MOD(ROW(),2)=0</formula>
    </cfRule>
  </conditionalFormatting>
  <conditionalFormatting sqref="CE5:CE1048576">
    <cfRule type="expression" dxfId="0" priority="24">
      <formula>MOD(ROW(),2)=0</formula>
    </cfRule>
  </conditionalFormatting>
  <conditionalFormatting sqref="CF5:CF1048576">
    <cfRule type="expression" dxfId="0" priority="23">
      <formula>MOD(ROW(),2)=0</formula>
    </cfRule>
  </conditionalFormatting>
  <conditionalFormatting sqref="CG5:CG1048576">
    <cfRule type="expression" dxfId="0" priority="22">
      <formula>MOD(ROW(),2)=0</formula>
    </cfRule>
  </conditionalFormatting>
  <conditionalFormatting sqref="CH5:CH1048576">
    <cfRule type="expression" dxfId="0" priority="21">
      <formula>MOD(ROW(),2)=0</formula>
    </cfRule>
  </conditionalFormatting>
  <conditionalFormatting sqref="CI5:CI1048576">
    <cfRule type="expression" dxfId="0" priority="20">
      <formula>MOD(ROW(),2)=0</formula>
    </cfRule>
  </conditionalFormatting>
  <conditionalFormatting sqref="CJ5:CJ1048576">
    <cfRule type="expression" dxfId="0" priority="19">
      <formula>MOD(ROW(),2)=0</formula>
    </cfRule>
  </conditionalFormatting>
  <conditionalFormatting sqref="CK5:CK1048576">
    <cfRule type="expression" dxfId="0" priority="18">
      <formula>MOD(ROW(),2)=0</formula>
    </cfRule>
  </conditionalFormatting>
  <conditionalFormatting sqref="CL5:CL1048576">
    <cfRule type="expression" dxfId="0" priority="17">
      <formula>MOD(ROW(),2)=0</formula>
    </cfRule>
  </conditionalFormatting>
  <conditionalFormatting sqref="CM5:CM1048576">
    <cfRule type="expression" dxfId="0" priority="16">
      <formula>MOD(ROW(),2)=0</formula>
    </cfRule>
  </conditionalFormatting>
  <conditionalFormatting sqref="CN5:CN1048576">
    <cfRule type="expression" dxfId="0" priority="15">
      <formula>MOD(ROW(),2)=0</formula>
    </cfRule>
  </conditionalFormatting>
  <conditionalFormatting sqref="CO5:CO1048576">
    <cfRule type="expression" dxfId="0" priority="14">
      <formula>MOD(ROW(),2)=0</formula>
    </cfRule>
  </conditionalFormatting>
  <conditionalFormatting sqref="CP5:CP1048576">
    <cfRule type="expression" dxfId="0" priority="13">
      <formula>MOD(ROW(),2)=0</formula>
    </cfRule>
  </conditionalFormatting>
  <conditionalFormatting sqref="CQ5:CQ1048576">
    <cfRule type="expression" dxfId="0" priority="12">
      <formula>MOD(ROW(),2)=0</formula>
    </cfRule>
  </conditionalFormatting>
  <conditionalFormatting sqref="CR5:CR1048576">
    <cfRule type="expression" dxfId="0" priority="11">
      <formula>MOD(ROW(),2)=0</formula>
    </cfRule>
  </conditionalFormatting>
  <conditionalFormatting sqref="CS5:CS1048576">
    <cfRule type="expression" dxfId="0" priority="10">
      <formula>MOD(ROW(),2)=0</formula>
    </cfRule>
  </conditionalFormatting>
  <conditionalFormatting sqref="CT5:CT1048576">
    <cfRule type="expression" dxfId="0" priority="9">
      <formula>MOD(ROW(),2)=0</formula>
    </cfRule>
  </conditionalFormatting>
  <conditionalFormatting sqref="CU5:CU1048576">
    <cfRule type="expression" dxfId="0" priority="8">
      <formula>MOD(ROW(),2)=0</formula>
    </cfRule>
  </conditionalFormatting>
  <conditionalFormatting sqref="CV5:CV1048576">
    <cfRule type="expression" dxfId="0" priority="7">
      <formula>MOD(ROW(),2)=0</formula>
    </cfRule>
  </conditionalFormatting>
  <conditionalFormatting sqref="CW5:CW1048576">
    <cfRule type="expression" dxfId="0" priority="6">
      <formula>MOD(ROW(),2)=0</formula>
    </cfRule>
  </conditionalFormatting>
  <conditionalFormatting sqref="CX5:CX1048576">
    <cfRule type="expression" dxfId="0" priority="5">
      <formula>MOD(ROW(),2)=0</formula>
    </cfRule>
  </conditionalFormatting>
  <conditionalFormatting sqref="CY5:CY1048576">
    <cfRule type="expression" dxfId="0" priority="4">
      <formula>MOD(ROW(),2)=0</formula>
    </cfRule>
  </conditionalFormatting>
  <conditionalFormatting sqref="CZ5:CZ1048576">
    <cfRule type="expression" dxfId="0" priority="3">
      <formula>MOD(ROW(),2)=0</formula>
    </cfRule>
  </conditionalFormatting>
  <conditionalFormatting sqref="DA5:DA1048576">
    <cfRule type="expression" dxfId="0" priority="2">
      <formula>MOD(ROW(),2)=0</formula>
    </cfRule>
  </conditionalFormatting>
  <conditionalFormatting sqref="DB5:DB1048576">
    <cfRule type="expression" dxfId="0" priority="1">
      <formula>MOD(ROW(),2)=0</formula>
    </cfRule>
  </conditionalFormatting>
  <conditionalFormatting sqref="C5:M1048576">
    <cfRule type="expression" dxfId="0" priority="94">
      <formula>MOD(ROW(),2)=0</formula>
    </cfRule>
  </conditionalFormatting>
  <dataValidations count="1">
    <dataValidation allowBlank="1" showInputMessage="1" showErrorMessage="1" sqref="G5:DB1048576"/>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首页</vt:lpstr>
      <vt:lpstr>说明书</vt:lpstr>
      <vt:lpstr>Sheet3</vt:lpstr>
      <vt:lpstr>人员管理</vt:lpstr>
      <vt:lpstr>人员权限设置</vt:lpstr>
      <vt:lpstr>部门权限设置</vt:lpstr>
      <vt:lpstr>工作台使用状态</vt:lpstr>
      <vt:lpstr>工作台权限设置</vt:lpstr>
      <vt:lpstr>公司数据分析</vt:lpstr>
      <vt:lpstr>人员数据分析</vt:lpstr>
      <vt:lpstr>工作台公式设置</vt:lpstr>
      <vt:lpstr>工作台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2022-11-11T03:22:24Z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2052-11.1.0.12763</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