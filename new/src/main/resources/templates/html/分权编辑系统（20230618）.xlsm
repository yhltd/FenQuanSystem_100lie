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889"/>
  </bookViews>
  <sheets>
    <sheet name="首页" sheetId="1" r:id="rId1"/>
    <sheet name="说明书" sheetId="2" state="veryHidden" r:id="rId2"/>
    <sheet name="Sheet3" sheetId="3" state="veryHidden" r:id="rId3"/>
    <sheet name="人员管理" sheetId="4" state="veryHidden" r:id="rId4"/>
    <sheet name="人员权限设置" sheetId="5" state="veryHidden" r:id="rId5"/>
    <sheet name="部门权限设置" sheetId="6" state="veryHidden" r:id="rId6"/>
    <sheet name="工作台使用状态" sheetId="7" state="veryHidden" r:id="rId7"/>
    <sheet name="工作台权限设置" sheetId="8" state="veryHidden" r:id="rId8"/>
    <sheet name="公司数据分析" sheetId="9" state="veryHidden" r:id="rId9"/>
    <sheet name="人员数据分析" sheetId="10" state="veryHidden" r:id="rId10"/>
    <sheet name="工作台公式设置" sheetId="12" state="veryHidden" r:id="rId11"/>
    <sheet name="工作台" sheetId="11" state="veryHidden" r:id="rId12"/>
  </sheets>
  <definedNames>
    <definedName name="_xlnm._FilterDatabase" localSheetId="3" hidden="1">人员管理!$C$4:$K$13</definedName>
  </definedNames>
  <calcPr calcId="144525"/>
</workbook>
</file>

<file path=xl/sharedStrings.xml><?xml version="1.0" encoding="utf-8"?>
<sst xmlns="http://schemas.openxmlformats.org/spreadsheetml/2006/main" count="1189" uniqueCount="234">
  <si>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</si>
  <si>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人员管理</t>
  </si>
  <si>
    <t>当前页:</t>
  </si>
  <si>
    <t>1.</t>
  </si>
  <si>
    <t>在页面上填好信息后点击保存按钮会将数据保存到数据库中，如果是新增则会在人员权限设置中添加两条空数据。</t>
  </si>
  <si>
    <t>2.</t>
  </si>
  <si>
    <t>点击刷新按钮可以显示全部数据。</t>
  </si>
  <si>
    <t>3.</t>
  </si>
  <si>
    <t>选中想要删除的数据后点击删除按钮会将数据从数据库中删除，并且也删除人员权限设置中对应的数据。</t>
  </si>
  <si>
    <t>4.</t>
  </si>
  <si>
    <t>点击查询按钮可以按照条件进行查询。</t>
  </si>
  <si>
    <t>此页面为及时保存，编辑单元格后会直接保存到数据库中。</t>
  </si>
  <si>
    <t>点击刷新按钮可以显示全部的修改权限数据。</t>
  </si>
  <si>
    <t>点击查询按钮可以选择查询修改权限数据或查询权限的数据。</t>
  </si>
  <si>
    <t>在页面上填好信息后点击保存按钮会将数据保存到数据库中。</t>
  </si>
  <si>
    <t>选中想要删除的数据后点击删除按钮会将数据从数据库中删除。</t>
  </si>
  <si>
    <t>工作台使用状态，点击刷新按钮可以看到工作台中被占用了哪些列，点击单元格可以解除占用。</t>
  </si>
  <si>
    <t>工作台权限设置可以看到本公司可以对工作台的哪些列进行编辑。</t>
  </si>
  <si>
    <t>在页面中修改单元格可以直接保存到数据库中。</t>
  </si>
  <si>
    <t>点击刷新按钮可以更新数据。</t>
  </si>
  <si>
    <t>公司数据分析和人员数据分析可以根据工作台的使用情况生成对应的图表，也可以点击查询按钮，根据条件生成</t>
  </si>
  <si>
    <t>图表。</t>
  </si>
  <si>
    <t>工作台点击刷新按钮可以查询到全部数据。</t>
  </si>
  <si>
    <t>点击新增按钮可以添加一条空白数据，录入日期和最后修改日期会自动生成。</t>
  </si>
  <si>
    <t>在页面上编辑后会自动保存到数据库中。</t>
  </si>
  <si>
    <t>如果有列被占用会提示无法编辑。</t>
  </si>
  <si>
    <t>广州安振企业管理有限公司</t>
  </si>
  <si>
    <t>管理员</t>
  </si>
  <si>
    <t>yhltd</t>
  </si>
  <si>
    <t>人事部</t>
  </si>
  <si>
    <t>20220420060442</t>
  </si>
  <si>
    <t>工作台</t>
  </si>
  <si>
    <t>是</t>
  </si>
  <si>
    <t>工作台权限设置</t>
  </si>
  <si>
    <t>部门权限设置</t>
  </si>
  <si>
    <t>公司数据分析</t>
  </si>
  <si>
    <t>人员权限设置</t>
  </si>
  <si>
    <t>人员数据分析</t>
  </si>
  <si>
    <t>工作台使用状态</t>
  </si>
  <si>
    <t>工作台公式设置</t>
  </si>
  <si>
    <t>▌ 人员管理</t>
  </si>
  <si>
    <t>序号</t>
  </si>
  <si>
    <t>姓名</t>
  </si>
  <si>
    <t>账号</t>
  </si>
  <si>
    <t>密码</t>
  </si>
  <si>
    <t>部门</t>
  </si>
  <si>
    <t>账号状态</t>
  </si>
  <si>
    <t>邮箱</t>
  </si>
  <si>
    <t>手机号码</t>
  </si>
  <si>
    <t>员工编号</t>
  </si>
  <si>
    <t>正常</t>
  </si>
  <si>
    <t>457851233@163.com</t>
  </si>
  <si>
    <t>周琼玟</t>
  </si>
  <si>
    <t>zhangsan</t>
  </si>
  <si>
    <t>锁死</t>
  </si>
  <si>
    <t>12121323@163.com</t>
  </si>
  <si>
    <t>202301311424499</t>
  </si>
  <si>
    <t>倪怡芳</t>
  </si>
  <si>
    <t>npf123</t>
  </si>
  <si>
    <t>23452324@163.com</t>
  </si>
  <si>
    <t>202301311535087</t>
  </si>
  <si>
    <t>郭贵</t>
  </si>
  <si>
    <t>gg123</t>
  </si>
  <si>
    <t>5673252@163.com</t>
  </si>
  <si>
    <t>202301311535088</t>
  </si>
  <si>
    <t>杨佩芳</t>
  </si>
  <si>
    <t>ypf123</t>
  </si>
  <si>
    <t>2365712@163.com</t>
  </si>
  <si>
    <t>202301311535089</t>
  </si>
  <si>
    <t>黄文旺</t>
  </si>
  <si>
    <t>hww123</t>
  </si>
  <si>
    <t>8987632@163.com</t>
  </si>
  <si>
    <t>2023013115350810</t>
  </si>
  <si>
    <t>黄盛玫</t>
  </si>
  <si>
    <t>hsg123</t>
  </si>
  <si>
    <t>3246532@163.com</t>
  </si>
  <si>
    <t>2023013115350811</t>
  </si>
  <si>
    <t>郑丽青</t>
  </si>
  <si>
    <t>zlq123</t>
  </si>
  <si>
    <t>326532@163.com</t>
  </si>
  <si>
    <t>2023013115350812</t>
  </si>
  <si>
    <t>测试人员1</t>
  </si>
  <si>
    <t>admin</t>
  </si>
  <si>
    <t>2023081009151813</t>
  </si>
  <si>
    <t>▌ 人员权限设置</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</si>
  <si>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</si>
  <si>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</si>
  <si>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</si>
  <si>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</si>
  <si>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</si>
  <si>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</si>
  <si>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</si>
  <si>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</si>
  <si>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</si>
  <si>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</si>
  <si>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</si>
  <si>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</si>
  <si>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</si>
  <si>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</si>
  <si>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</si>
  <si>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</si>
  <si>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</si>
  <si>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</si>
  <si>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</si>
  <si>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</si>
  <si>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</si>
  <si>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</si>
  <si>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</si>
  <si>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</si>
  <si>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</si>
  <si>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</si>
  <si>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</si>
  <si>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</si>
  <si>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</si>
  <si>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</si>
  <si>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</si>
  <si>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</si>
  <si>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</si>
  <si>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</si>
  <si>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</si>
  <si>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</si>
  <si>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</si>
  <si>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</si>
  <si>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</si>
  <si>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</si>
  <si>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</si>
  <si>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</si>
  <si>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</si>
  <si>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</si>
  <si>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</si>
  <si>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</si>
  <si>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</si>
  <si>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</si>
  <si>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</si>
  <si>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</si>
  <si>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</si>
  <si>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</si>
  <si>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</si>
  <si>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</si>
  <si>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</si>
  <si>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</si>
  <si>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</si>
  <si>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</si>
  <si>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</si>
  <si>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</si>
  <si>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</si>
  <si>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</si>
  <si>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</si>
  <si>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</si>
  <si>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</si>
  <si>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</si>
  <si>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</si>
  <si>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</si>
  <si>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</si>
  <si>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</si>
  <si>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</si>
  <si>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</si>
  <si>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</si>
  <si>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</si>
  <si>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</si>
  <si>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</si>
  <si>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</si>
  <si>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</si>
  <si>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</si>
  <si>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</si>
  <si>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</si>
  <si>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</si>
  <si>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</si>
  <si>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</si>
  <si>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</si>
  <si>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</si>
  <si>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</si>
  <si>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</si>
  <si>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</si>
  <si>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</si>
  <si>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</si>
  <si>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</si>
  <si>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</si>
  <si>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</si>
  <si>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</si>
  <si>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</si>
  <si>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</si>
  <si>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</si>
  <si>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</si>
  <si>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权限</t>
  </si>
  <si>
    <t>√</t>
  </si>
  <si>
    <t xml:space="preserve"> </t>
  </si>
  <si>
    <t>修改</t>
  </si>
  <si>
    <t>张三</t>
  </si>
  <si>
    <t>asd</t>
  </si>
  <si>
    <t>20230616070305</t>
  </si>
  <si>
    <t>▌ 部门权限设置</t>
  </si>
  <si>
    <t>页面名称</t>
  </si>
  <si>
    <t>增</t>
  </si>
  <si>
    <t>删</t>
  </si>
  <si>
    <t>改</t>
  </si>
  <si>
    <t>查</t>
  </si>
  <si>
    <t>▌ 工作台使用状态</t>
  </si>
  <si>
    <t>公司</t>
  </si>
  <si>
    <t>▌ 工作台权限设置</t>
  </si>
  <si>
    <t>▌ 公司数据分析</t>
  </si>
  <si>
    <t>▌ 人员数据分析</t>
  </si>
  <si>
    <t>▌ 工作台公式设置</t>
  </si>
  <si>
    <t>列</t>
  </si>
  <si>
    <t>公式</t>
  </si>
  <si>
    <t>A*C</t>
  </si>
  <si>
    <t>C*D</t>
  </si>
  <si>
    <t>E*3</t>
  </si>
  <si>
    <t>J*7</t>
  </si>
  <si>
    <t>▌ 工作台</t>
  </si>
  <si>
    <t>人员</t>
  </si>
  <si>
    <t>添加日期</t>
  </si>
  <si>
    <t>最后修改日期</t>
  </si>
  <si>
    <t>测试</t>
  </si>
  <si>
    <t>李四</t>
  </si>
  <si>
    <t>王五</t>
  </si>
  <si>
    <t>弟弟</t>
  </si>
  <si>
    <t xml:space="preserve"> hehehh</t>
  </si>
  <si>
    <t>监控室3</t>
  </si>
  <si>
    <t>订单</t>
  </si>
  <si>
    <t>水电费</t>
  </si>
  <si>
    <t>『』</t>
  </si>
  <si>
    <t>??</t>
  </si>
  <si>
    <t>监控室8996</t>
  </si>
  <si>
    <t>监控室8665</t>
  </si>
  <si>
    <t>q</t>
  </si>
  <si>
    <t>ceshi</t>
  </si>
  <si>
    <t>e</t>
  </si>
  <si>
    <t>gg</t>
  </si>
  <si>
    <t>d</t>
  </si>
  <si>
    <t>fgh</t>
  </si>
  <si>
    <t>c</t>
  </si>
  <si>
    <t>b</t>
  </si>
  <si>
    <t>Sdf</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</si>
</sst>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39">
    <font>
      <sz val="12"/>
      <name val="宋体"/>
      <charset val="134"/>
    </font>
    <font>
      <sz val="12"/>
      <name val="微软雅黑"/>
      <charset val="134"/>
    </font>
    <font>
      <sz val="10"/>
      <name val="微软雅黑"/>
      <charset val="134"/>
    </font>
    <font>
      <sz val="20"/>
      <name val="微软雅黑"/>
      <charset val="134"/>
    </font>
    <font>
      <b/>
      <sz val="12"/>
      <color theme="0"/>
      <name val="微软雅黑"/>
      <charset val="134"/>
    </font>
    <font>
      <u/>
      <sz val="11"/>
      <color rgb="FF0000FF"/>
      <name val="宋体"/>
      <charset val="0"/>
      <scheme val="minor"/>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0" tint="-0.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7" fillId="0" borderId="0" applyFont="0" applyFill="0" applyBorder="0" applyAlignment="0" applyProtection="0">
      <alignment vertical="center"/>
    </xf>
    <xf numFmtId="0" fontId="20" fillId="10" borderId="0" applyNumberFormat="0" applyBorder="0" applyAlignment="0" applyProtection="0">
      <alignment vertical="center"/>
    </xf>
    <xf numFmtId="0" fontId="21" fillId="11" borderId="1" applyNumberFormat="0" applyAlignment="0" applyProtection="0">
      <alignment vertical="center"/>
    </xf>
    <xf numFmtId="44" fontId="7" fillId="0" borderId="0" applyFont="0" applyFill="0" applyBorder="0" applyAlignment="0" applyProtection="0">
      <alignment vertical="center"/>
    </xf>
    <xf numFmtId="41" fontId="7" fillId="0" borderId="0" applyFont="0" applyFill="0" applyBorder="0" applyAlignment="0" applyProtection="0">
      <alignment vertical="center"/>
    </xf>
    <xf numFmtId="0" fontId="20" fillId="12" borderId="0" applyNumberFormat="0" applyBorder="0" applyAlignment="0" applyProtection="0">
      <alignment vertical="center"/>
    </xf>
    <xf numFmtId="0" fontId="22" fillId="13" borderId="0" applyNumberFormat="0" applyBorder="0" applyAlignment="0" applyProtection="0">
      <alignment vertical="center"/>
    </xf>
    <xf numFmtId="43" fontId="7" fillId="0" borderId="0" applyFont="0" applyFill="0" applyBorder="0" applyAlignment="0" applyProtection="0">
      <alignment vertical="center"/>
    </xf>
    <xf numFmtId="0" fontId="23" fillId="14" borderId="0" applyNumberFormat="0" applyBorder="0" applyAlignment="0" applyProtection="0">
      <alignment vertical="center"/>
    </xf>
    <xf numFmtId="0" fontId="5" fillId="0" borderId="0" applyNumberFormat="0" applyFill="0" applyBorder="0" applyAlignment="0" applyProtection="0">
      <alignment vertical="center"/>
    </xf>
    <xf numFmtId="9" fontId="7" fillId="0" borderId="0" applyFont="0" applyFill="0" applyBorder="0" applyAlignment="0" applyProtection="0">
      <alignment vertical="center"/>
    </xf>
    <xf numFmtId="0" fontId="24" fillId="0" borderId="0" applyNumberFormat="0" applyFill="0" applyBorder="0" applyAlignment="0" applyProtection="0">
      <alignment vertical="center"/>
    </xf>
    <xf numFmtId="0" fontId="7" fillId="15" borderId="2" applyNumberFormat="0" applyFont="0" applyAlignment="0" applyProtection="0">
      <alignment vertical="center"/>
    </xf>
    <xf numFmtId="0" fontId="23" fillId="16"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3" applyNumberFormat="0" applyFill="0" applyAlignment="0" applyProtection="0">
      <alignment vertical="center"/>
    </xf>
    <xf numFmtId="0" fontId="30" fillId="0" borderId="3" applyNumberFormat="0" applyFill="0" applyAlignment="0" applyProtection="0">
      <alignment vertical="center"/>
    </xf>
    <xf numFmtId="0" fontId="23" fillId="17" borderId="0" applyNumberFormat="0" applyBorder="0" applyAlignment="0" applyProtection="0">
      <alignment vertical="center"/>
    </xf>
    <xf numFmtId="0" fontId="25" fillId="0" borderId="4" applyNumberFormat="0" applyFill="0" applyAlignment="0" applyProtection="0">
      <alignment vertical="center"/>
    </xf>
    <xf numFmtId="0" fontId="23" fillId="18" borderId="0" applyNumberFormat="0" applyBorder="0" applyAlignment="0" applyProtection="0">
      <alignment vertical="center"/>
    </xf>
    <xf numFmtId="0" fontId="31" fillId="19" borderId="5" applyNumberFormat="0" applyAlignment="0" applyProtection="0">
      <alignment vertical="center"/>
    </xf>
    <xf numFmtId="0" fontId="32" fillId="19" borderId="1" applyNumberFormat="0" applyAlignment="0" applyProtection="0">
      <alignment vertical="center"/>
    </xf>
    <xf numFmtId="0" fontId="33" fillId="20" borderId="6" applyNumberFormat="0" applyAlignment="0" applyProtection="0">
      <alignment vertical="center"/>
    </xf>
    <xf numFmtId="0" fontId="20" fillId="21" borderId="0" applyNumberFormat="0" applyBorder="0" applyAlignment="0" applyProtection="0">
      <alignment vertical="center"/>
    </xf>
    <xf numFmtId="0" fontId="23" fillId="22" borderId="0" applyNumberFormat="0" applyBorder="0" applyAlignment="0" applyProtection="0">
      <alignment vertical="center"/>
    </xf>
    <xf numFmtId="0" fontId="34" fillId="0" borderId="7" applyNumberFormat="0" applyFill="0" applyAlignment="0" applyProtection="0">
      <alignment vertical="center"/>
    </xf>
    <xf numFmtId="0" fontId="35" fillId="0" borderId="8" applyNumberFormat="0" applyFill="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20" fillId="25" borderId="0" applyNumberFormat="0" applyBorder="0" applyAlignment="0" applyProtection="0">
      <alignment vertical="center"/>
    </xf>
    <xf numFmtId="0" fontId="23" fillId="26" borderId="0" applyNumberFormat="0" applyBorder="0" applyAlignment="0" applyProtection="0">
      <alignment vertical="center"/>
    </xf>
    <xf numFmtId="0" fontId="20"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20" fillId="30" borderId="0" applyNumberFormat="0" applyBorder="0" applyAlignment="0" applyProtection="0">
      <alignment vertical="center"/>
    </xf>
    <xf numFmtId="0" fontId="23" fillId="31" borderId="0" applyNumberFormat="0" applyBorder="0" applyAlignment="0" applyProtection="0">
      <alignment vertical="center"/>
    </xf>
    <xf numFmtId="0" fontId="23"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23" fillId="35" borderId="0" applyNumberFormat="0" applyBorder="0" applyAlignment="0" applyProtection="0">
      <alignment vertical="center"/>
    </xf>
    <xf numFmtId="0" fontId="20" fillId="36" borderId="0" applyNumberFormat="0" applyBorder="0" applyAlignment="0" applyProtection="0">
      <alignment vertical="center"/>
    </xf>
    <xf numFmtId="0" fontId="23" fillId="37" borderId="0" applyNumberFormat="0" applyBorder="0" applyAlignment="0" applyProtection="0">
      <alignment vertical="center"/>
    </xf>
    <xf numFmtId="0" fontId="23" fillId="38" borderId="0" applyNumberFormat="0" applyBorder="0" applyAlignment="0" applyProtection="0">
      <alignment vertical="center"/>
    </xf>
    <xf numFmtId="0" fontId="20" fillId="39" borderId="0" applyNumberFormat="0" applyBorder="0" applyAlignment="0" applyProtection="0">
      <alignment vertical="center"/>
    </xf>
    <xf numFmtId="0" fontId="23" fillId="40" borderId="0" applyNumberFormat="0" applyBorder="0" applyAlignment="0" applyProtection="0">
      <alignment vertical="center"/>
    </xf>
  </cellStyleXfs>
  <cellXfs count="41">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3" fillId="0" borderId="0" xfId="0" applyFont="1" applyAlignment="1">
      <alignment vertical="center"/>
    </xf>
    <xf numFmtId="0" fontId="4" fillId="3" borderId="0" xfId="0" applyFont="1" applyFill="1" applyAlignment="1">
      <alignment horizontal="center" vertical="center"/>
    </xf>
    <xf numFmtId="14" fontId="2" fillId="2" borderId="0" xfId="0" applyNumberFormat="1" applyFont="1" applyFill="1" applyAlignment="1">
      <alignment horizontal="center" vertical="center"/>
    </xf>
    <xf numFmtId="0" fontId="0" fillId="0" borderId="0" xfId="0" applyAlignment="1">
      <alignment horizontal="center" vertical="center"/>
    </xf>
    <xf numFmtId="0" fontId="0" fillId="2" borderId="0" xfId="0" applyFill="1" applyAlignment="1">
      <alignment horizontal="center" vertical="center"/>
    </xf>
    <xf numFmtId="49" fontId="2" fillId="0" borderId="0" xfId="0" applyNumberFormat="1" applyFont="1" applyAlignment="1">
      <alignment horizontal="center" vertical="center"/>
    </xf>
    <xf numFmtId="49" fontId="1" fillId="0" borderId="0" xfId="0" applyNumberFormat="1" applyFont="1" applyAlignment="1">
      <alignment horizontal="center" vertical="center"/>
    </xf>
    <xf numFmtId="0" fontId="5" fillId="2" borderId="0" xfId="10" applyFill="1" applyAlignment="1">
      <alignment horizontal="center" vertical="center"/>
    </xf>
    <xf numFmtId="14" fontId="0" fillId="0" borderId="0" xfId="0" applyNumberFormat="1">
      <alignment vertical="center"/>
    </xf>
    <xf numFmtId="49" fontId="0" fillId="0" borderId="0" xfId="0" applyNumberFormat="1">
      <alignment vertical="center"/>
    </xf>
    <xf numFmtId="0" fontId="6" fillId="4" borderId="0" xfId="0" applyFont="1" applyFill="1" applyAlignment="1" applyProtection="1">
      <alignment horizontal="left" vertical="center"/>
    </xf>
    <xf numFmtId="0" fontId="7" fillId="5" borderId="0" xfId="0" applyFont="1" applyFill="1" applyAlignment="1" applyProtection="1">
      <alignment vertical="center"/>
    </xf>
    <xf numFmtId="0" fontId="8" fillId="5" borderId="0" xfId="0" applyFont="1" applyFill="1" applyAlignment="1" applyProtection="1">
      <alignment horizontal="left" vertical="center"/>
    </xf>
    <xf numFmtId="0" fontId="8" fillId="6" borderId="0" xfId="0" applyFont="1" applyFill="1" applyAlignment="1" applyProtection="1">
      <alignment horizontal="left" vertical="center"/>
    </xf>
    <xf numFmtId="49" fontId="9" fillId="6" borderId="0" xfId="0" applyNumberFormat="1" applyFont="1" applyFill="1" applyAlignment="1" applyProtection="1">
      <alignment horizontal="right" vertical="center"/>
    </xf>
    <xf numFmtId="0" fontId="10" fillId="6" borderId="0" xfId="0" applyFont="1" applyFill="1" applyAlignment="1" applyProtection="1">
      <alignment horizontal="left" vertical="center"/>
    </xf>
    <xf numFmtId="0" fontId="2" fillId="4" borderId="0" xfId="0" applyFont="1" applyFill="1" applyAlignment="1" applyProtection="1">
      <alignment horizontal="center" vertical="center"/>
    </xf>
    <xf numFmtId="49" fontId="11" fillId="4" borderId="0" xfId="0" applyNumberFormat="1" applyFont="1" applyFill="1" applyAlignment="1" applyProtection="1">
      <alignment horizontal="left" vertical="center"/>
    </xf>
    <xf numFmtId="49" fontId="12" fillId="5" borderId="0" xfId="0" applyNumberFormat="1" applyFont="1" applyFill="1" applyAlignment="1" applyProtection="1">
      <alignment horizontal="right" vertical="center"/>
    </xf>
    <xf numFmtId="49" fontId="12" fillId="6" borderId="0" xfId="0" applyNumberFormat="1" applyFont="1" applyFill="1" applyAlignment="1" applyProtection="1">
      <alignment horizontal="center" vertical="center"/>
    </xf>
    <xf numFmtId="49" fontId="13" fillId="7" borderId="0" xfId="0" applyNumberFormat="1" applyFont="1" applyFill="1" applyAlignment="1" applyProtection="1">
      <alignment horizontal="center" vertical="center" wrapText="1"/>
    </xf>
    <xf numFmtId="0" fontId="14" fillId="7" borderId="0" xfId="0" applyFont="1" applyFill="1" applyAlignment="1" applyProtection="1">
      <alignment horizontal="center" vertical="center" wrapText="1"/>
    </xf>
    <xf numFmtId="176" fontId="15" fillId="7" borderId="0" xfId="0" applyNumberFormat="1" applyFont="1" applyFill="1" applyAlignment="1" applyProtection="1">
      <alignment horizontal="right" vertical="center" indent="1"/>
    </xf>
    <xf numFmtId="0" fontId="16" fillId="7" borderId="0" xfId="0" applyFont="1" applyFill="1" applyAlignment="1" applyProtection="1">
      <alignment horizontal="center" vertical="center" wrapText="1"/>
    </xf>
    <xf numFmtId="49" fontId="14" fillId="7" borderId="0" xfId="0" applyNumberFormat="1" applyFont="1" applyFill="1" applyAlignment="1" applyProtection="1">
      <alignment horizontal="center" vertical="center" wrapText="1"/>
    </xf>
    <xf numFmtId="0" fontId="16" fillId="7" borderId="0" xfId="0" applyFont="1" applyFill="1" applyAlignment="1" applyProtection="1">
      <alignment vertical="center" wrapText="1"/>
    </xf>
    <xf numFmtId="49" fontId="9"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0" fillId="8" borderId="0" xfId="0" applyFont="1" applyFill="1" applyAlignment="1" applyProtection="1">
      <alignment horizontal="left" vertical="center"/>
    </xf>
    <xf numFmtId="49" fontId="6" fillId="4" borderId="0" xfId="0" applyNumberFormat="1" applyFont="1" applyFill="1" applyAlignment="1" applyProtection="1">
      <alignment horizontal="left" vertical="center"/>
    </xf>
    <xf numFmtId="0" fontId="1"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公司数据分析!$C$4:$CX$4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公司数据分析!$C$5:$CX$5</c:f>
              <c:numCache>
                <c:formatCode>General</c:formatCode>
                <c:ptCount val="100"/>
                <c:pt idx="78">
                  <c:v>2</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1</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人员数据分析!$C$4:$CX$4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人员数据分析!$C$5:$CX$5</c:f>
              <c:numCache>
                <c:formatCode>General</c:formatCode>
                <c:ptCount val="100"/>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4037;&#20316;&#21488;&#20351;&#29992;&#29366;&#24577;!A1"/><Relationship Id="rId8" Type="http://schemas.openxmlformats.org/officeDocument/2006/relationships/hyperlink" Target="#&#37096;&#38376;&#26435;&#38480;&#35774;&#32622;!A1"/><Relationship Id="rId7" Type="http://schemas.openxmlformats.org/officeDocument/2006/relationships/hyperlink" Target="#&#20154;&#21592;&#26435;&#38480;&#35774;&#32622;!A1"/><Relationship Id="rId6" Type="http://schemas.openxmlformats.org/officeDocument/2006/relationships/hyperlink" Target="#&#20154;&#21592;&#31649;&#29702;!A1"/><Relationship Id="rId5" Type="http://schemas.openxmlformats.org/officeDocument/2006/relationships/hyperlink" Target="#&#35828;&#26126;&#20070;!A1"/><Relationship Id="rId4" Type="http://schemas.openxmlformats.org/officeDocument/2006/relationships/hyperlink" Target="#&#20844;&#21496;&#25968;&#25454;&#20998;&#26512;!A1"/><Relationship Id="rId3" Type="http://schemas.openxmlformats.org/officeDocument/2006/relationships/hyperlink" Target="#&#24037;&#20316;&#21488;&#26435;&#38480;&#35774;&#32622;!A1"/><Relationship Id="rId2" Type="http://schemas.openxmlformats.org/officeDocument/2006/relationships/hyperlink" Target="#&#24037;&#20316;&#21488;!A1"/><Relationship Id="rId10" Type="http://schemas.openxmlformats.org/officeDocument/2006/relationships/hyperlink" Target="#&#24037;&#20316;&#21488;&#20844;&#24335;&#35774;&#32622;!A1"/><Relationship Id="rId1" Type="http://schemas.openxmlformats.org/officeDocument/2006/relationships/hyperlink" Target="#&#20154;&#21592;&#25968;&#25454;&#20998;&#26512;!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635</xdr:colOff>
      <xdr:row>0</xdr:row>
      <xdr:rowOff>635</xdr:rowOff>
    </xdr:from>
    <xdr:to>
      <xdr:col>43</xdr:col>
      <xdr:colOff>36830</xdr:colOff>
      <xdr:row>23</xdr:row>
      <xdr:rowOff>201295</xdr:rowOff>
    </xdr:to>
    <xdr:grpSp>
      <xdr:nvGrpSpPr>
        <xdr:cNvPr id="2" name="组合 1"/>
        <xdr:cNvGrpSpPr/>
      </xdr:nvGrpSpPr>
      <xdr:grpSpPr>
        <a:xfrm>
          <a:off x="635" y="635"/>
          <a:ext cx="11913870" cy="5195570"/>
          <a:chOff x="-7" y="-14"/>
          <a:chExt cx="17602"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37" y="-13"/>
            <a:ext cx="338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分权编辑系统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239395</xdr:colOff>
      <xdr:row>9</xdr:row>
      <xdr:rowOff>103505</xdr:rowOff>
    </xdr:from>
    <xdr:to>
      <xdr:col>40</xdr:col>
      <xdr:colOff>59690</xdr:colOff>
      <xdr:row>14</xdr:row>
      <xdr:rowOff>35560</xdr:rowOff>
    </xdr:to>
    <xdr:grpSp>
      <xdr:nvGrpSpPr>
        <xdr:cNvPr id="26" name="组合 25"/>
        <xdr:cNvGrpSpPr/>
      </xdr:nvGrpSpPr>
      <xdr:grpSpPr>
        <a:xfrm rot="0">
          <a:off x="3554095" y="2058035"/>
          <a:ext cx="7554595" cy="101790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人员数据分析</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工作台权限设置</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公司数据分析</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239395</xdr:colOff>
      <xdr:row>3</xdr:row>
      <xdr:rowOff>114300</xdr:rowOff>
    </xdr:from>
    <xdr:to>
      <xdr:col>40</xdr:col>
      <xdr:colOff>59690</xdr:colOff>
      <xdr:row>8</xdr:row>
      <xdr:rowOff>9525</xdr:rowOff>
    </xdr:to>
    <xdr:grpSp>
      <xdr:nvGrpSpPr>
        <xdr:cNvPr id="32" name="组合 31"/>
        <xdr:cNvGrpSpPr/>
      </xdr:nvGrpSpPr>
      <xdr:grpSpPr>
        <a:xfrm>
          <a:off x="3554095" y="765810"/>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人员管理</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人员权限设置</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部门权限设置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工作台使用状态</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239395</xdr:colOff>
      <xdr:row>15</xdr:row>
      <xdr:rowOff>121920</xdr:rowOff>
    </xdr:from>
    <xdr:to>
      <xdr:col>18</xdr:col>
      <xdr:colOff>211455</xdr:colOff>
      <xdr:row>20</xdr:row>
      <xdr:rowOff>53975</xdr:rowOff>
    </xdr:to>
    <xdr:sp>
      <xdr:nvSpPr>
        <xdr:cNvPr id="3" name="圆角矩形 16">
          <a:hlinkClick xmlns:r="http://schemas.openxmlformats.org/officeDocument/2006/relationships" r:id="rId10"/>
        </xdr:cNvPr>
        <xdr:cNvSpPr/>
      </xdr:nvSpPr>
      <xdr:spPr>
        <a:xfrm>
          <a:off x="3554095" y="3379470"/>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工作台公式设置</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3</xdr:col>
      <xdr:colOff>609600</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1905</xdr:rowOff>
    </xdr:from>
    <xdr:to>
      <xdr:col>4</xdr:col>
      <xdr:colOff>859790</xdr:colOff>
      <xdr:row>0</xdr:row>
      <xdr:rowOff>430530</xdr:rowOff>
    </xdr:to>
    <xdr:sp macro="[0]!select04">
      <xdr:nvSpPr>
        <xdr:cNvPr id="3" name="圆角矩形 2"/>
        <xdr:cNvSpPr/>
      </xdr:nvSpPr>
      <xdr:spPr>
        <a:xfrm>
          <a:off x="1817370" y="190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48260</xdr:colOff>
      <xdr:row>0</xdr:row>
      <xdr:rowOff>635</xdr:rowOff>
    </xdr:from>
    <xdr:to>
      <xdr:col>5</xdr:col>
      <xdr:colOff>1113790</xdr:colOff>
      <xdr:row>0</xdr:row>
      <xdr:rowOff>429260</xdr:rowOff>
    </xdr:to>
    <xdr:sp macro="[0]!save04">
      <xdr:nvSpPr>
        <xdr:cNvPr id="4" name="圆角矩形 3"/>
        <xdr:cNvSpPr/>
      </xdr:nvSpPr>
      <xdr:spPr>
        <a:xfrm>
          <a:off x="3343910" y="635"/>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302260</xdr:colOff>
      <xdr:row>0</xdr:row>
      <xdr:rowOff>1905</xdr:rowOff>
    </xdr:from>
    <xdr:to>
      <xdr:col>7</xdr:col>
      <xdr:colOff>97790</xdr:colOff>
      <xdr:row>0</xdr:row>
      <xdr:rowOff>430530</xdr:rowOff>
    </xdr:to>
    <xdr:sp macro="[0]!delete04">
      <xdr:nvSpPr>
        <xdr:cNvPr id="5" name="圆角矩形 4"/>
        <xdr:cNvSpPr/>
      </xdr:nvSpPr>
      <xdr:spPr>
        <a:xfrm>
          <a:off x="48742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562610</xdr:colOff>
      <xdr:row>0</xdr:row>
      <xdr:rowOff>1905</xdr:rowOff>
    </xdr:from>
    <xdr:to>
      <xdr:col>8</xdr:col>
      <xdr:colOff>358140</xdr:colOff>
      <xdr:row>0</xdr:row>
      <xdr:rowOff>430530</xdr:rowOff>
    </xdr:to>
    <xdr:sp macro="[0]!queryAll">
      <xdr:nvSpPr>
        <xdr:cNvPr id="6" name="圆角矩形 5"/>
        <xdr:cNvSpPr/>
      </xdr:nvSpPr>
      <xdr:spPr>
        <a:xfrm>
          <a:off x="64109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6</xdr:col>
      <xdr:colOff>40640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95885</xdr:colOff>
      <xdr:row>0</xdr:row>
      <xdr:rowOff>0</xdr:rowOff>
    </xdr:from>
    <xdr:to>
      <xdr:col>9</xdr:col>
      <xdr:colOff>342265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697865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1162685</xdr:colOff>
      <xdr:row>0</xdr:row>
      <xdr:rowOff>0</xdr:rowOff>
    </xdr:from>
    <xdr:to>
      <xdr:col>5</xdr:col>
      <xdr:colOff>789940</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1254760</xdr:colOff>
      <xdr:row>0</xdr:row>
      <xdr:rowOff>1270</xdr:rowOff>
    </xdr:from>
    <xdr:to>
      <xdr:col>6</xdr:col>
      <xdr:colOff>888365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1353185</xdr:colOff>
      <xdr:row>0</xdr:row>
      <xdr:rowOff>1270</xdr:rowOff>
    </xdr:from>
    <xdr:to>
      <xdr:col>7</xdr:col>
      <xdr:colOff>986790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173990</xdr:colOff>
      <xdr:row>0</xdr:row>
      <xdr:rowOff>429260</xdr:rowOff>
    </xdr:to>
    <xdr:sp macro="[0]!select07">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200025</xdr:colOff>
      <xdr:row>0</xdr:row>
      <xdr:rowOff>635</xdr:rowOff>
    </xdr:from>
    <xdr:to>
      <xdr:col>9</xdr:col>
      <xdr:colOff>33020</xdr:colOff>
      <xdr:row>0</xdr:row>
      <xdr:rowOff>429260</xdr:rowOff>
    </xdr:to>
    <xdr:sp macro="[0]!save07">
      <xdr:nvSpPr>
        <xdr:cNvPr id="4" name="圆角矩形 3"/>
        <xdr:cNvSpPr/>
      </xdr:nvSpPr>
      <xdr:spPr>
        <a:xfrm>
          <a:off x="331470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一键解除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212090</xdr:colOff>
      <xdr:row>0</xdr:row>
      <xdr:rowOff>429260</xdr:rowOff>
    </xdr:to>
    <xdr:sp macro="[0]!select08">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5</xdr:col>
      <xdr:colOff>247650</xdr:colOff>
      <xdr:row>0</xdr:row>
      <xdr:rowOff>432435</xdr:rowOff>
    </xdr:to>
    <xdr:sp>
      <xdr:nvSpPr>
        <xdr:cNvPr id="5" name="圆角矩形 4">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select09">
      <xdr:nvSpPr>
        <xdr:cNvPr id="6" name="圆角矩形 5"/>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29210</xdr:colOff>
      <xdr:row>0</xdr:row>
      <xdr:rowOff>0</xdr:rowOff>
    </xdr:from>
    <xdr:to>
      <xdr:col>16</xdr:col>
      <xdr:colOff>266065</xdr:colOff>
      <xdr:row>0</xdr:row>
      <xdr:rowOff>428625</xdr:rowOff>
    </xdr:to>
    <xdr:sp macro="[0]!queryAll">
      <xdr:nvSpPr>
        <xdr:cNvPr id="7" name="圆角矩形 6"/>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1</xdr:col>
      <xdr:colOff>0</xdr:colOff>
      <xdr:row>5</xdr:row>
      <xdr:rowOff>16510</xdr:rowOff>
    </xdr:from>
    <xdr:to>
      <xdr:col>102</xdr:col>
      <xdr:colOff>27305</xdr:colOff>
      <xdr:row>28</xdr:row>
      <xdr:rowOff>106045</xdr:rowOff>
    </xdr:to>
    <xdr:graphicFrame>
      <xdr:nvGraphicFramePr>
        <xdr:cNvPr id="8" name="图表 7"/>
        <xdr:cNvGraphicFramePr/>
      </xdr:nvGraphicFramePr>
      <xdr:xfrm>
        <a:off x="276225" y="1569085"/>
        <a:ext cx="27649805" cy="42519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5</xdr:row>
      <xdr:rowOff>9525</xdr:rowOff>
    </xdr:from>
    <xdr:to>
      <xdr:col>101</xdr:col>
      <xdr:colOff>274320</xdr:colOff>
      <xdr:row>28</xdr:row>
      <xdr:rowOff>169545</xdr:rowOff>
    </xdr:to>
    <xdr:graphicFrame>
      <xdr:nvGraphicFramePr>
        <xdr:cNvPr id="2" name="图表 1"/>
        <xdr:cNvGraphicFramePr/>
      </xdr:nvGraphicFramePr>
      <xdr:xfrm>
        <a:off x="276225" y="1562100"/>
        <a:ext cx="27620595" cy="432244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0</xdr:row>
      <xdr:rowOff>635</xdr:rowOff>
    </xdr:from>
    <xdr:to>
      <xdr:col>5</xdr:col>
      <xdr:colOff>247650</xdr:colOff>
      <xdr:row>0</xdr:row>
      <xdr:rowOff>432435</xdr:rowOff>
    </xdr:to>
    <xdr:sp>
      <xdr:nvSpPr>
        <xdr:cNvPr id="3" name="圆角矩形 2">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queryAll">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88265</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553085</xdr:colOff>
      <xdr:row>0</xdr:row>
      <xdr:rowOff>0</xdr:rowOff>
    </xdr:from>
    <xdr:to>
      <xdr:col>4</xdr:col>
      <xdr:colOff>1618615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35560</xdr:colOff>
      <xdr:row>0</xdr:row>
      <xdr:rowOff>1270</xdr:rowOff>
    </xdr:from>
    <xdr:to>
      <xdr:col>6</xdr:col>
      <xdr:colOff>421640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1031240</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391160</xdr:colOff>
      <xdr:row>0</xdr:row>
      <xdr:rowOff>0</xdr:rowOff>
    </xdr:from>
    <xdr:to>
      <xdr:col>6</xdr:col>
      <xdr:colOff>351790</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816610</xdr:colOff>
      <xdr:row>0</xdr:row>
      <xdr:rowOff>1270</xdr:rowOff>
    </xdr:from>
    <xdr:to>
      <xdr:col>7</xdr:col>
      <xdr:colOff>869315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305435</xdr:colOff>
      <xdr:row>0</xdr:row>
      <xdr:rowOff>1905</xdr:rowOff>
    </xdr:from>
    <xdr:to>
      <xdr:col>9</xdr:col>
      <xdr:colOff>358140</xdr:colOff>
      <xdr:row>0</xdr:row>
      <xdr:rowOff>430530</xdr:rowOff>
    </xdr:to>
    <xdr:sp macro="[0]!queryAll">
      <xdr:nvSpPr>
        <xdr:cNvPr id="6" name="圆角矩形 5"/>
        <xdr:cNvSpPr/>
      </xdr:nvSpPr>
      <xdr:spPr>
        <a:xfrm>
          <a:off x="6401435"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752475</xdr:colOff>
      <xdr:row>0</xdr:row>
      <xdr:rowOff>635</xdr:rowOff>
    </xdr:from>
    <xdr:to>
      <xdr:col>10</xdr:col>
      <xdr:colOff>805180</xdr:colOff>
      <xdr:row>0</xdr:row>
      <xdr:rowOff>429260</xdr:rowOff>
    </xdr:to>
    <xdr:sp macro="[0]!daochu">
      <xdr:nvSpPr>
        <xdr:cNvPr id="7" name="圆角矩形 6"/>
        <xdr:cNvSpPr/>
      </xdr:nvSpPr>
      <xdr:spPr>
        <a:xfrm>
          <a:off x="78676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9" Type="http://schemas.openxmlformats.org/officeDocument/2006/relationships/hyperlink" Target="mailto:326532@163.com" TargetMode="External"/><Relationship Id="rId8" Type="http://schemas.openxmlformats.org/officeDocument/2006/relationships/hyperlink" Target="mailto:3246532@163.com" TargetMode="External"/><Relationship Id="rId7" Type="http://schemas.openxmlformats.org/officeDocument/2006/relationships/hyperlink" Target="mailto:8987632@163.com" TargetMode="External"/><Relationship Id="rId6" Type="http://schemas.openxmlformats.org/officeDocument/2006/relationships/hyperlink" Target="mailto:2365712@163.com" TargetMode="External"/><Relationship Id="rId5" Type="http://schemas.openxmlformats.org/officeDocument/2006/relationships/hyperlink" Target="mailto:5673252@163.com" TargetMode="External"/><Relationship Id="rId4" Type="http://schemas.openxmlformats.org/officeDocument/2006/relationships/hyperlink" Target="mailto:23452324@163.com" TargetMode="External"/><Relationship Id="rId3" Type="http://schemas.openxmlformats.org/officeDocument/2006/relationships/hyperlink" Target="mailto:12121323@163.com" TargetMode="External"/><Relationship Id="rId2" Type="http://schemas.openxmlformats.org/officeDocument/2006/relationships/hyperlink" Target="mailto:457851233@163.com" TargetMode="Externa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D28" sqref="AD28"/>
    </sheetView>
  </sheetViews>
  <sheetFormatPr defaultColWidth="3.625" defaultRowHeight="17.1" customHeight="1"/>
  <cols>
    <col min="1" max="1" width="3.625" style="34" customWidth="1"/>
    <col min="2" max="16384" width="3.625" style="34"/>
  </cols>
  <sheetData>
    <row r="4" customHeight="1" spans="1:42">
      <c r="A4" s="35"/>
      <c r="B4" s="35"/>
      <c r="C4" s="35"/>
      <c r="D4" s="35"/>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row>
    <row r="5" customHeight="1" spans="1:42">
      <c r="A5" s="35"/>
      <c r="B5" s="35"/>
      <c r="C5" s="35"/>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row>
    <row r="6" customHeight="1" spans="1:42">
      <c r="A6" s="36"/>
      <c r="B6" s="36"/>
      <c r="C6" s="36"/>
      <c r="D6" s="36"/>
      <c r="E6" s="36"/>
      <c r="F6" s="36"/>
      <c r="G6" s="36"/>
      <c r="H6" s="37"/>
      <c r="I6" s="37"/>
      <c r="J6" s="37"/>
      <c r="K6" s="37"/>
      <c r="L6" s="37"/>
      <c r="M6" s="37"/>
      <c r="N6" s="37"/>
      <c r="O6" s="37"/>
      <c r="P6" s="37"/>
      <c r="Q6" s="37"/>
      <c r="R6" s="36"/>
      <c r="S6" s="36"/>
      <c r="T6" s="36"/>
      <c r="U6" s="36"/>
      <c r="V6" s="36"/>
      <c r="W6" s="36"/>
      <c r="X6" s="36"/>
      <c r="Y6" s="36"/>
      <c r="Z6" s="36"/>
      <c r="AA6" s="36"/>
      <c r="AB6" s="36"/>
      <c r="AC6" s="36"/>
      <c r="AD6" s="36"/>
      <c r="AE6" s="36"/>
      <c r="AF6" s="36"/>
      <c r="AG6" s="36"/>
      <c r="AH6" s="36"/>
      <c r="AI6" s="36"/>
      <c r="AJ6" s="36"/>
      <c r="AK6" s="36"/>
      <c r="AL6" s="36"/>
      <c r="AM6" s="36"/>
      <c r="AN6" s="36"/>
      <c r="AO6" s="36"/>
      <c r="AP6" s="36"/>
    </row>
    <row r="7" customHeight="1" spans="5:23">
      <c r="E7" s="38"/>
      <c r="F7" s="38"/>
      <c r="G7" s="38"/>
      <c r="H7" s="39"/>
      <c r="I7" s="39"/>
      <c r="J7" s="39"/>
      <c r="K7" s="39"/>
      <c r="L7" s="39"/>
      <c r="M7" s="39"/>
      <c r="N7" s="40"/>
      <c r="O7" s="40"/>
      <c r="P7" s="40"/>
      <c r="Q7" s="40"/>
      <c r="T7" s="40"/>
      <c r="U7" s="40"/>
      <c r="V7" s="40"/>
      <c r="W7" s="40"/>
    </row>
    <row r="8" customHeight="1" spans="8:23">
      <c r="H8" s="40"/>
      <c r="I8" s="40"/>
      <c r="J8" s="40"/>
      <c r="K8" s="40"/>
      <c r="L8" s="40"/>
      <c r="M8" s="40"/>
      <c r="N8" s="40"/>
      <c r="O8" s="40"/>
      <c r="P8" s="40"/>
      <c r="Q8" s="40"/>
      <c r="T8" s="40"/>
      <c r="U8" s="40"/>
      <c r="V8" s="40"/>
      <c r="W8" s="40"/>
    </row>
    <row r="9" customHeight="1" spans="8:23">
      <c r="H9" s="40"/>
      <c r="I9" s="40"/>
      <c r="J9" s="40"/>
      <c r="K9" s="40"/>
      <c r="L9" s="40"/>
      <c r="M9" s="40"/>
      <c r="N9" s="40"/>
      <c r="O9" s="40"/>
      <c r="P9" s="40"/>
      <c r="Q9" s="40"/>
      <c r="R9" s="40"/>
      <c r="S9" s="40"/>
      <c r="T9" s="40"/>
      <c r="U9" s="40"/>
      <c r="V9" s="40"/>
      <c r="W9" s="40"/>
    </row>
    <row r="10" customHeight="1" spans="17:23">
      <c r="Q10" s="40"/>
      <c r="R10" s="40"/>
      <c r="S10" s="40"/>
      <c r="T10" s="40"/>
      <c r="U10" s="40"/>
      <c r="V10" s="40"/>
      <c r="W10" s="40"/>
    </row>
    <row r="11" customHeight="1" spans="17:23">
      <c r="Q11" s="40"/>
      <c r="R11" s="40"/>
      <c r="S11" s="40"/>
      <c r="T11" s="40"/>
      <c r="U11" s="40"/>
      <c r="V11" s="40"/>
      <c r="W11" s="40"/>
    </row>
    <row r="12" customHeight="1" spans="17:23">
      <c r="Q12" s="40"/>
      <c r="R12" s="40"/>
      <c r="S12" s="40"/>
      <c r="T12" s="40"/>
      <c r="U12" s="40"/>
      <c r="V12" s="40"/>
      <c r="W12" s="40"/>
    </row>
    <row r="13" customHeight="1" spans="17:23">
      <c r="Q13" s="40"/>
      <c r="R13" s="40"/>
      <c r="S13" s="40"/>
      <c r="T13" s="40"/>
      <c r="U13" s="40"/>
      <c r="V13" s="40"/>
      <c r="W13" s="40"/>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16" customWidth="1"/>
    <col min="2" max="2" width="2.625" style="17" customWidth="1"/>
    <col min="3" max="3" width="15.25" style="18" customWidth="1"/>
    <col min="4" max="4" width="19.125" style="19" customWidth="1"/>
    <col min="5" max="5" width="10.5" style="19" customWidth="1"/>
    <col min="6" max="8" width="24.625" style="19" customWidth="1"/>
    <col min="9" max="9" width="2.625" style="17" customWidth="1"/>
    <col min="10" max="10" width="4.25" style="16" customWidth="1"/>
    <col min="11" max="16384" width="9" style="16"/>
  </cols>
  <sheetData>
    <row r="1" s="14" customFormat="1" ht="54.95" customHeight="1" spans="1:10">
      <c r="A1" s="20"/>
      <c r="C1" s="21"/>
      <c r="J1" s="33"/>
    </row>
    <row r="2" ht="15.95" customHeight="1" spans="2:9">
      <c r="B2" s="16"/>
      <c r="C2" s="22"/>
      <c r="D2" s="16"/>
      <c r="E2" s="16"/>
      <c r="F2" s="16"/>
      <c r="G2" s="16"/>
      <c r="H2" s="16"/>
      <c r="I2" s="16"/>
    </row>
    <row r="3" ht="15.95" customHeight="1" spans="3:8">
      <c r="C3" s="23"/>
      <c r="D3" s="17"/>
      <c r="E3" s="17"/>
      <c r="F3" s="17"/>
      <c r="G3" s="17"/>
      <c r="H3" s="17"/>
    </row>
    <row r="4" ht="75.95" customHeight="1" spans="3:8">
      <c r="C4" s="24" t="s">
        <v>0</v>
      </c>
      <c r="D4" s="25"/>
      <c r="E4" s="25"/>
      <c r="F4" s="26">
        <f>D7</f>
        <v>1</v>
      </c>
      <c r="G4" s="27" t="s">
        <v>1</v>
      </c>
      <c r="H4" s="27"/>
    </row>
    <row r="5" ht="6" customHeight="1" spans="3:8">
      <c r="C5" s="28"/>
      <c r="D5" s="25"/>
      <c r="E5" s="25"/>
      <c r="F5" s="29"/>
      <c r="G5" s="29"/>
      <c r="H5" s="29"/>
    </row>
    <row r="6" s="15" customFormat="1" ht="9" customHeight="1" spans="2:9">
      <c r="B6" s="17"/>
      <c r="C6" s="30"/>
      <c r="D6" s="31"/>
      <c r="E6" s="31"/>
      <c r="F6" s="32"/>
      <c r="G6" s="32"/>
      <c r="H6" s="32"/>
      <c r="I6" s="17"/>
    </row>
    <row r="7" hidden="1" customHeight="1" spans="2:4">
      <c r="B7" s="17" t="s">
        <v>2</v>
      </c>
      <c r="D7" s="19">
        <v>1</v>
      </c>
    </row>
    <row r="8" customHeight="1" spans="3:4">
      <c r="C8" s="18" t="s">
        <v>3</v>
      </c>
      <c r="D8" s="19" t="s">
        <v>4</v>
      </c>
    </row>
    <row r="9" customHeight="1" spans="3:4">
      <c r="C9" s="18" t="s">
        <v>5</v>
      </c>
      <c r="D9" s="19" t="s">
        <v>6</v>
      </c>
    </row>
    <row r="10" customHeight="1" spans="3:4">
      <c r="C10" s="18" t="s">
        <v>7</v>
      </c>
      <c r="D10" s="19" t="s">
        <v>8</v>
      </c>
    </row>
    <row r="11" customHeight="1" spans="3:4">
      <c r="C11" s="18" t="s">
        <v>9</v>
      </c>
      <c r="D11" s="19" t="s">
        <v>10</v>
      </c>
    </row>
    <row r="18" hidden="1" customHeight="1" spans="3:4">
      <c r="C18" s="18" t="s">
        <v>3</v>
      </c>
      <c r="D18" s="19" t="s">
        <v>11</v>
      </c>
    </row>
    <row r="19" hidden="1" customHeight="1" spans="3:4">
      <c r="C19" s="18" t="s">
        <v>5</v>
      </c>
      <c r="D19" s="19" t="s">
        <v>12</v>
      </c>
    </row>
    <row r="20" hidden="1" customHeight="1" spans="3:4">
      <c r="C20" s="18" t="s">
        <v>7</v>
      </c>
      <c r="D20" s="19" t="s">
        <v>13</v>
      </c>
    </row>
    <row r="21" hidden="1" customHeight="1"/>
    <row r="22" hidden="1" customHeight="1"/>
    <row r="23" hidden="1" customHeight="1"/>
    <row r="24" hidden="1" customHeight="1"/>
    <row r="25" hidden="1" customHeight="1"/>
    <row r="26" hidden="1" customHeight="1"/>
    <row r="27" hidden="1" customHeight="1"/>
    <row r="28" hidden="1" customHeight="1" spans="3:4">
      <c r="C28" s="18" t="s">
        <v>3</v>
      </c>
      <c r="D28" s="19" t="s">
        <v>14</v>
      </c>
    </row>
    <row r="29" hidden="1" customHeight="1" spans="3:4">
      <c r="C29" s="18" t="s">
        <v>5</v>
      </c>
      <c r="D29" s="19" t="s">
        <v>6</v>
      </c>
    </row>
    <row r="30" hidden="1" customHeight="1" spans="3:4">
      <c r="C30" s="18" t="s">
        <v>7</v>
      </c>
      <c r="D30" s="19" t="s">
        <v>15</v>
      </c>
    </row>
    <row r="31" hidden="1" customHeight="1" spans="3:4">
      <c r="C31" s="18" t="s">
        <v>9</v>
      </c>
      <c r="D31" s="19" t="s">
        <v>10</v>
      </c>
    </row>
    <row r="32" hidden="1" customHeight="1"/>
    <row r="33" hidden="1" customHeight="1"/>
    <row r="34" hidden="1" customHeight="1"/>
    <row r="35" hidden="1" customHeight="1"/>
    <row r="36" hidden="1" customHeight="1"/>
    <row r="37" hidden="1" customHeight="1"/>
    <row r="38" hidden="1" customHeight="1" spans="3:4">
      <c r="C38" s="18" t="s">
        <v>3</v>
      </c>
      <c r="D38" s="19" t="s">
        <v>16</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18" t="s">
        <v>3</v>
      </c>
      <c r="D48" s="19" t="s">
        <v>17</v>
      </c>
    </row>
    <row r="49" hidden="1" customHeight="1" spans="3:4">
      <c r="C49" s="18" t="s">
        <v>5</v>
      </c>
      <c r="D49" s="19" t="s">
        <v>18</v>
      </c>
    </row>
    <row r="50" hidden="1" customHeight="1" spans="3:4">
      <c r="C50" s="18" t="s">
        <v>7</v>
      </c>
      <c r="D50" s="19" t="s">
        <v>19</v>
      </c>
    </row>
    <row r="51" hidden="1" customHeight="1"/>
    <row r="52" hidden="1" customHeight="1"/>
    <row r="53" hidden="1" customHeight="1"/>
    <row r="54" hidden="1" customHeight="1"/>
    <row r="55" hidden="1" customHeight="1"/>
    <row r="56" hidden="1" customHeight="1"/>
    <row r="57" hidden="1" customHeight="1"/>
    <row r="58" hidden="1" customHeight="1" spans="3:4">
      <c r="C58" s="18" t="s">
        <v>3</v>
      </c>
      <c r="D58" s="19" t="s">
        <v>20</v>
      </c>
    </row>
    <row r="59" hidden="1" customHeight="1" spans="4:4">
      <c r="D59" s="19" t="s">
        <v>21</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18" t="s">
        <v>3</v>
      </c>
      <c r="D68" s="19" t="s">
        <v>22</v>
      </c>
    </row>
    <row r="69" hidden="1" customHeight="1" spans="3:4">
      <c r="C69" s="18" t="s">
        <v>5</v>
      </c>
      <c r="D69" s="19" t="s">
        <v>23</v>
      </c>
    </row>
    <row r="70" hidden="1" customHeight="1" spans="3:4">
      <c r="C70" s="18" t="s">
        <v>7</v>
      </c>
      <c r="D70" s="19" t="s">
        <v>24</v>
      </c>
    </row>
    <row r="71" hidden="1" customHeight="1" spans="3:4">
      <c r="C71" s="18" t="s">
        <v>9</v>
      </c>
      <c r="D71" s="19" t="s">
        <v>25</v>
      </c>
    </row>
    <row r="72" hidden="1" customHeight="1"/>
    <row r="73" hidden="1" customHeight="1"/>
    <row r="74" hidden="1" customHeight="1"/>
    <row r="75" hidden="1" customHeight="1"/>
    <row r="76" hidden="1" customHeight="1"/>
    <row r="77" hidden="1" customHeight="1"/>
    <row r="78" hidden="1" customHeight="1" spans="3:3">
      <c r="C78" s="18">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18">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18">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13"/>
  <sheetViews>
    <sheetView workbookViewId="0">
      <selection activeCell="F15" sqref="F15"/>
    </sheetView>
  </sheetViews>
  <sheetFormatPr defaultColWidth="9" defaultRowHeight="14.25" outlineLevelCol="5"/>
  <cols>
    <col min="1" max="1" width="22.125" customWidth="1"/>
    <col min="6" max="6" width="16.125" customWidth="1"/>
  </cols>
  <sheetData>
    <row r="1" spans="1:5">
      <c r="A1" s="12">
        <v>58441</v>
      </c>
      <c r="C1" s="12">
        <v>47848</v>
      </c>
      <c r="D1">
        <v>1000</v>
      </c>
      <c r="E1">
        <v>10</v>
      </c>
    </row>
    <row r="3" spans="1:6">
      <c r="A3" t="s">
        <v>26</v>
      </c>
      <c r="B3" t="s">
        <v>27</v>
      </c>
      <c r="C3" t="s">
        <v>28</v>
      </c>
      <c r="D3" t="s">
        <v>28</v>
      </c>
      <c r="E3" t="s">
        <v>29</v>
      </c>
      <c r="F3" s="13" t="s">
        <v>30</v>
      </c>
    </row>
    <row r="5" spans="1:5">
      <c r="A5" t="s">
        <v>31</v>
      </c>
      <c r="B5" t="s">
        <v>32</v>
      </c>
      <c r="C5" t="s">
        <v>32</v>
      </c>
      <c r="D5" t="s">
        <v>32</v>
      </c>
      <c r="E5" t="s">
        <v>32</v>
      </c>
    </row>
    <row r="6" spans="1:5">
      <c r="A6" t="s">
        <v>33</v>
      </c>
      <c r="B6" t="s">
        <v>32</v>
      </c>
      <c r="C6" t="s">
        <v>32</v>
      </c>
      <c r="D6" t="s">
        <v>32</v>
      </c>
      <c r="E6" t="s">
        <v>32</v>
      </c>
    </row>
    <row r="7" spans="1:5">
      <c r="A7" t="s">
        <v>34</v>
      </c>
      <c r="B7" t="s">
        <v>32</v>
      </c>
      <c r="C7" t="s">
        <v>32</v>
      </c>
      <c r="D7" t="s">
        <v>32</v>
      </c>
      <c r="E7" t="s">
        <v>32</v>
      </c>
    </row>
    <row r="8" spans="1:5">
      <c r="A8" t="s">
        <v>35</v>
      </c>
      <c r="B8" t="s">
        <v>32</v>
      </c>
      <c r="C8" t="s">
        <v>32</v>
      </c>
      <c r="D8" t="s">
        <v>32</v>
      </c>
      <c r="E8" t="s">
        <v>32</v>
      </c>
    </row>
    <row r="9" spans="1:5">
      <c r="A9" t="s">
        <v>1</v>
      </c>
      <c r="B9" t="s">
        <v>32</v>
      </c>
      <c r="C9" t="s">
        <v>32</v>
      </c>
      <c r="D9" t="s">
        <v>32</v>
      </c>
      <c r="E9" t="s">
        <v>32</v>
      </c>
    </row>
    <row r="10" spans="1:5">
      <c r="A10" t="s">
        <v>36</v>
      </c>
      <c r="B10" t="s">
        <v>32</v>
      </c>
      <c r="C10" t="s">
        <v>32</v>
      </c>
      <c r="D10" t="s">
        <v>32</v>
      </c>
      <c r="E10" t="s">
        <v>32</v>
      </c>
    </row>
    <row r="11" spans="1:5">
      <c r="A11" t="s">
        <v>37</v>
      </c>
      <c r="B11" t="s">
        <v>32</v>
      </c>
      <c r="C11" t="s">
        <v>32</v>
      </c>
      <c r="D11" t="s">
        <v>32</v>
      </c>
      <c r="E11" t="s">
        <v>32</v>
      </c>
    </row>
    <row r="12" spans="1:5">
      <c r="A12" t="s">
        <v>38</v>
      </c>
      <c r="B12" t="s">
        <v>32</v>
      </c>
      <c r="C12" t="s">
        <v>32</v>
      </c>
      <c r="D12" t="s">
        <v>32</v>
      </c>
      <c r="E12" t="s">
        <v>32</v>
      </c>
    </row>
    <row r="13" spans="1:5">
      <c r="A13" t="s">
        <v>39</v>
      </c>
      <c r="B13" t="s">
        <v>32</v>
      </c>
      <c r="C13" t="s">
        <v>32</v>
      </c>
      <c r="D13" t="s">
        <v>32</v>
      </c>
      <c r="E1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L14"/>
  <sheetViews>
    <sheetView showGridLines="0" workbookViewId="0">
      <pane ySplit="4" topLeftCell="A5" activePane="bottomLeft" state="frozen"/>
      <selection/>
      <selection pane="bottomLeft" activeCell="I3" sqref="I3"/>
    </sheetView>
  </sheetViews>
  <sheetFormatPr defaultColWidth="9" defaultRowHeight="20" customHeight="1"/>
  <cols>
    <col min="1" max="1" width="3.625" style="2" customWidth="1"/>
    <col min="2" max="2" width="3.625" style="2" hidden="1" customWidth="1"/>
    <col min="3" max="3" width="6.125" style="3" customWidth="1"/>
    <col min="4" max="11" width="16.75" style="3" customWidth="1"/>
    <col min="12" max="12" width="22.125" style="9" hidden="1" customWidth="1"/>
    <col min="13" max="16384" width="9" style="2"/>
  </cols>
  <sheetData>
    <row r="1" s="1" customFormat="1" ht="50" customHeight="1" spans="12:12">
      <c r="L1" s="10"/>
    </row>
    <row r="2" s="1" customFormat="1" ht="40" hidden="1" customHeight="1" spans="12:12">
      <c r="L2" s="10"/>
    </row>
    <row r="3" s="1" customFormat="1" ht="40" customHeight="1" spans="3:12">
      <c r="C3" s="4" t="s">
        <v>40</v>
      </c>
      <c r="L3" s="10"/>
    </row>
    <row r="4" s="1" customFormat="1" ht="30" customHeight="1" spans="3:12">
      <c r="C4" s="5" t="s">
        <v>41</v>
      </c>
      <c r="D4" s="5" t="s">
        <v>42</v>
      </c>
      <c r="E4" s="5" t="s">
        <v>43</v>
      </c>
      <c r="F4" s="5" t="s">
        <v>44</v>
      </c>
      <c r="G4" s="5" t="s">
        <v>45</v>
      </c>
      <c r="H4" s="5" t="s">
        <v>46</v>
      </c>
      <c r="I4" s="5" t="s">
        <v>47</v>
      </c>
      <c r="J4" s="5" t="s">
        <v>48</v>
      </c>
      <c r="K4" s="5" t="s">
        <v>49</v>
      </c>
      <c r="L4" s="10"/>
    </row>
    <row r="5" customHeight="1" spans="2:12">
      <c r="B5" s="2">
        <v>300</v>
      </c>
      <c r="C5" s="3">
        <v>1</v>
      </c>
      <c r="D5" s="3" t="s">
        <v>27</v>
      </c>
      <c r="E5" s="3" t="s">
        <v>28</v>
      </c>
      <c r="F5" s="3" t="s">
        <v>28</v>
      </c>
      <c r="G5" s="3" t="s">
        <v>29</v>
      </c>
      <c r="H5" s="3" t="s">
        <v>50</v>
      </c>
      <c r="I5" s="11" t="s">
        <v>51</v>
      </c>
      <c r="J5" s="3">
        <v>18888888888</v>
      </c>
      <c r="K5" s="3">
        <v>457853</v>
      </c>
      <c r="L5" s="9" t="s">
        <v>30</v>
      </c>
    </row>
    <row r="6" customHeight="1" spans="2:12">
      <c r="B6" s="2">
        <v>721</v>
      </c>
      <c r="C6" s="3">
        <v>2</v>
      </c>
      <c r="D6" s="3" t="s">
        <v>52</v>
      </c>
      <c r="E6" s="3" t="s">
        <v>53</v>
      </c>
      <c r="F6" s="3">
        <v>123</v>
      </c>
      <c r="G6" s="3" t="s">
        <v>29</v>
      </c>
      <c r="H6" s="3" t="s">
        <v>54</v>
      </c>
      <c r="I6" s="11" t="s">
        <v>55</v>
      </c>
      <c r="J6" s="3">
        <v>13333333333</v>
      </c>
      <c r="K6" s="3">
        <v>123123</v>
      </c>
      <c r="L6" s="9" t="s">
        <v>56</v>
      </c>
    </row>
    <row r="7" customHeight="1" spans="2:12">
      <c r="B7" s="2">
        <v>723</v>
      </c>
      <c r="C7" s="3">
        <v>3</v>
      </c>
      <c r="D7" s="3" t="s">
        <v>57</v>
      </c>
      <c r="E7" s="3" t="s">
        <v>58</v>
      </c>
      <c r="F7" s="3">
        <v>123123</v>
      </c>
      <c r="G7" s="3" t="s">
        <v>29</v>
      </c>
      <c r="H7" s="3" t="s">
        <v>50</v>
      </c>
      <c r="I7" s="11" t="s">
        <v>59</v>
      </c>
      <c r="J7" s="3">
        <v>13444444444</v>
      </c>
      <c r="K7" s="3">
        <v>457853</v>
      </c>
      <c r="L7" s="9" t="s">
        <v>60</v>
      </c>
    </row>
    <row r="8" customHeight="1" spans="2:12">
      <c r="B8" s="2">
        <v>724</v>
      </c>
      <c r="C8" s="3">
        <v>4</v>
      </c>
      <c r="D8" s="3" t="s">
        <v>61</v>
      </c>
      <c r="E8" s="3" t="s">
        <v>62</v>
      </c>
      <c r="F8" s="3">
        <v>123123</v>
      </c>
      <c r="G8" s="3" t="s">
        <v>29</v>
      </c>
      <c r="H8" s="3" t="s">
        <v>54</v>
      </c>
      <c r="I8" s="11" t="s">
        <v>63</v>
      </c>
      <c r="J8" s="3">
        <v>12333333333</v>
      </c>
      <c r="K8" s="3">
        <v>123123</v>
      </c>
      <c r="L8" s="9" t="s">
        <v>64</v>
      </c>
    </row>
    <row r="9" customHeight="1" spans="2:12">
      <c r="B9" s="2">
        <v>725</v>
      </c>
      <c r="C9" s="3">
        <v>5</v>
      </c>
      <c r="D9" s="3" t="s">
        <v>65</v>
      </c>
      <c r="E9" s="3" t="s">
        <v>66</v>
      </c>
      <c r="F9" s="3">
        <v>123123</v>
      </c>
      <c r="G9" s="3" t="s">
        <v>29</v>
      </c>
      <c r="H9" s="3" t="s">
        <v>50</v>
      </c>
      <c r="I9" s="11" t="s">
        <v>67</v>
      </c>
      <c r="J9" s="3">
        <v>14555555555</v>
      </c>
      <c r="K9" s="3">
        <v>457853</v>
      </c>
      <c r="L9" s="9" t="s">
        <v>68</v>
      </c>
    </row>
    <row r="10" customHeight="1" spans="2:12">
      <c r="B10" s="2">
        <v>726</v>
      </c>
      <c r="C10" s="3">
        <v>6</v>
      </c>
      <c r="D10" s="3" t="s">
        <v>69</v>
      </c>
      <c r="E10" s="3" t="s">
        <v>70</v>
      </c>
      <c r="F10" s="3">
        <v>123123</v>
      </c>
      <c r="G10" s="3" t="s">
        <v>29</v>
      </c>
      <c r="H10" s="3" t="s">
        <v>54</v>
      </c>
      <c r="I10" s="11" t="s">
        <v>71</v>
      </c>
      <c r="J10" s="3">
        <v>12322222222</v>
      </c>
      <c r="K10" s="3">
        <v>123123</v>
      </c>
      <c r="L10" s="9" t="s">
        <v>72</v>
      </c>
    </row>
    <row r="11" customHeight="1" spans="2:12">
      <c r="B11" s="2">
        <v>727</v>
      </c>
      <c r="C11" s="3">
        <v>7</v>
      </c>
      <c r="D11" s="3" t="s">
        <v>73</v>
      </c>
      <c r="E11" s="3" t="s">
        <v>74</v>
      </c>
      <c r="F11" s="3">
        <v>123123</v>
      </c>
      <c r="G11" s="3" t="s">
        <v>29</v>
      </c>
      <c r="H11" s="3" t="s">
        <v>50</v>
      </c>
      <c r="I11" s="11" t="s">
        <v>75</v>
      </c>
      <c r="J11" s="3">
        <v>12222344556</v>
      </c>
      <c r="K11" s="3">
        <v>457853</v>
      </c>
      <c r="L11" s="9" t="s">
        <v>76</v>
      </c>
    </row>
    <row r="12" customHeight="1" spans="2:12">
      <c r="B12" s="2">
        <v>728</v>
      </c>
      <c r="C12" s="3">
        <v>8</v>
      </c>
      <c r="D12" s="3" t="s">
        <v>77</v>
      </c>
      <c r="E12" s="3" t="s">
        <v>78</v>
      </c>
      <c r="F12" s="3">
        <v>123123</v>
      </c>
      <c r="G12" s="3" t="s">
        <v>29</v>
      </c>
      <c r="H12" s="3" t="s">
        <v>54</v>
      </c>
      <c r="I12" s="11" t="s">
        <v>79</v>
      </c>
      <c r="J12" s="3">
        <v>15645643322</v>
      </c>
      <c r="K12" s="3">
        <v>123123</v>
      </c>
      <c r="L12" s="9" t="s">
        <v>80</v>
      </c>
    </row>
    <row r="13" customHeight="1" spans="2:12">
      <c r="B13" s="2">
        <v>751</v>
      </c>
      <c r="C13" s="3">
        <v>9</v>
      </c>
      <c r="D13" s="3" t="s">
        <v>81</v>
      </c>
      <c r="E13" s="3" t="s">
        <v>82</v>
      </c>
      <c r="F13" s="3">
        <v>321321</v>
      </c>
      <c r="G13" s="3" t="s">
        <v>29</v>
      </c>
      <c r="H13" s="3" t="s">
        <v>50</v>
      </c>
      <c r="L13" s="9" t="s">
        <v>83</v>
      </c>
    </row>
    <row r="14" customHeight="1" spans="9:9">
      <c r="I14" s="11"/>
    </row>
  </sheetData>
  <autoFilter ref="C4:K13">
    <extLst/>
  </autoFilter>
  <conditionalFormatting sqref="C5:K1048576">
    <cfRule type="expression" dxfId="0" priority="1">
      <formula>MOD(ROW(),2)=0</formula>
    </cfRule>
  </conditionalFormatting>
  <dataValidations count="1">
    <dataValidation type="list" allowBlank="1" showInputMessage="1" showErrorMessage="1" sqref="H5 H6 H7 H8 H9 H10 H11 H12 H13 H14 H15:H1048576">
      <formula1>"正常,锁死"</formula1>
    </dataValidation>
  </dataValidations>
  <hyperlinks>
    <hyperlink ref="I5" r:id="rId2" display="457851233@163.com"/>
    <hyperlink ref="I6" r:id="rId3" display="12121323@163.com"/>
    <hyperlink ref="I7" r:id="rId4" display="23452324@163.com"/>
    <hyperlink ref="I8" r:id="rId5" display="5673252@163.com"/>
    <hyperlink ref="I9" r:id="rId6" display="2365712@163.com"/>
    <hyperlink ref="I10" r:id="rId7" display="8987632@163.com"/>
    <hyperlink ref="I11" r:id="rId8" display="3246532@163.com"/>
    <hyperlink ref="I12" r:id="rId9" display="326532@163.com"/>
    <hyperlink ref="I14" r:id="rId8"/>
  </hyperlink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DB14"/>
  <sheetViews>
    <sheetView showGridLines="0" workbookViewId="0">
      <pane ySplit="4" topLeftCell="A5" activePane="bottomLeft" state="frozen"/>
      <selection/>
      <selection pane="bottomLeft" activeCell="J21" sqref="J21"/>
    </sheetView>
  </sheetViews>
  <sheetFormatPr defaultColWidth="9" defaultRowHeight="20" customHeight="1"/>
  <cols>
    <col min="1" max="1" width="3.625" style="2" customWidth="1"/>
    <col min="2" max="2" width="3.625" style="2" hidden="1" customWidth="1"/>
    <col min="3" max="3" width="6.125" style="3" customWidth="1"/>
    <col min="4" max="4" width="16.75" style="3" customWidth="1"/>
    <col min="5" max="104" width="5.375" style="3" customWidth="1"/>
    <col min="105" max="105" width="7.125" style="3" customWidth="1"/>
    <col min="106" max="106" width="9" style="9" hidden="1" customWidth="1"/>
    <col min="107" max="16384" width="9" style="2"/>
  </cols>
  <sheetData>
    <row r="1" s="1" customFormat="1" ht="50" customHeight="1" spans="106:106">
      <c r="DB1" s="10"/>
    </row>
    <row r="2" s="1" customFormat="1" ht="40" hidden="1" customHeight="1" spans="106:106">
      <c r="DB2" s="10"/>
    </row>
    <row r="3" s="1" customFormat="1" ht="40" customHeight="1" spans="3:106">
      <c r="C3" s="4" t="s">
        <v>84</v>
      </c>
      <c r="DB3" s="10"/>
    </row>
    <row r="4" s="1" customFormat="1" ht="30" customHeight="1" spans="3:106">
      <c r="C4" s="5" t="s">
        <v>41</v>
      </c>
      <c r="D4" s="5" t="s">
        <v>42</v>
      </c>
      <c r="E4" s="5" t="s">
        <v>85</v>
      </c>
      <c r="F4" s="5" t="s">
        <v>86</v>
      </c>
      <c r="G4" s="5" t="s">
        <v>87</v>
      </c>
      <c r="H4" s="5" t="s">
        <v>88</v>
      </c>
      <c r="I4" s="5" t="s">
        <v>89</v>
      </c>
      <c r="J4" s="5" t="s">
        <v>90</v>
      </c>
      <c r="K4" s="5" t="s">
        <v>91</v>
      </c>
      <c r="L4" s="5" t="s">
        <v>92</v>
      </c>
      <c r="M4" s="5" t="s">
        <v>93</v>
      </c>
      <c r="N4" s="5" t="s">
        <v>94</v>
      </c>
      <c r="O4" s="5" t="s">
        <v>95</v>
      </c>
      <c r="P4" s="5" t="s">
        <v>96</v>
      </c>
      <c r="Q4" s="5" t="s">
        <v>97</v>
      </c>
      <c r="R4" s="5" t="s">
        <v>98</v>
      </c>
      <c r="S4" s="5" t="s">
        <v>99</v>
      </c>
      <c r="T4" s="5" t="s">
        <v>100</v>
      </c>
      <c r="U4" s="5" t="s">
        <v>101</v>
      </c>
      <c r="V4" s="5" t="s">
        <v>102</v>
      </c>
      <c r="W4" s="5" t="s">
        <v>103</v>
      </c>
      <c r="X4" s="5" t="s">
        <v>104</v>
      </c>
      <c r="Y4" s="5" t="s">
        <v>105</v>
      </c>
      <c r="Z4" s="5" t="s">
        <v>106</v>
      </c>
      <c r="AA4" s="5" t="s">
        <v>107</v>
      </c>
      <c r="AB4" s="5" t="s">
        <v>108</v>
      </c>
      <c r="AC4" s="5" t="s">
        <v>109</v>
      </c>
      <c r="AD4" s="5" t="s">
        <v>110</v>
      </c>
      <c r="AE4" s="5" t="s">
        <v>111</v>
      </c>
      <c r="AF4" s="5" t="s">
        <v>112</v>
      </c>
      <c r="AG4" s="5" t="s">
        <v>113</v>
      </c>
      <c r="AH4" s="5" t="s">
        <v>114</v>
      </c>
      <c r="AI4" s="5" t="s">
        <v>115</v>
      </c>
      <c r="AJ4" s="5" t="s">
        <v>116</v>
      </c>
      <c r="AK4" s="5" t="s">
        <v>117</v>
      </c>
      <c r="AL4" s="5" t="s">
        <v>118</v>
      </c>
      <c r="AM4" s="5" t="s">
        <v>119</v>
      </c>
      <c r="AN4" s="5" t="s">
        <v>120</v>
      </c>
      <c r="AO4" s="5" t="s">
        <v>121</v>
      </c>
      <c r="AP4" s="5" t="s">
        <v>122</v>
      </c>
      <c r="AQ4" s="5" t="s">
        <v>123</v>
      </c>
      <c r="AR4" s="5" t="s">
        <v>124</v>
      </c>
      <c r="AS4" s="5" t="s">
        <v>125</v>
      </c>
      <c r="AT4" s="5" t="s">
        <v>126</v>
      </c>
      <c r="AU4" s="5" t="s">
        <v>127</v>
      </c>
      <c r="AV4" s="5" t="s">
        <v>128</v>
      </c>
      <c r="AW4" s="5" t="s">
        <v>129</v>
      </c>
      <c r="AX4" s="5" t="s">
        <v>130</v>
      </c>
      <c r="AY4" s="5" t="s">
        <v>131</v>
      </c>
      <c r="AZ4" s="5" t="s">
        <v>132</v>
      </c>
      <c r="BA4" s="5" t="s">
        <v>133</v>
      </c>
      <c r="BB4" s="5" t="s">
        <v>134</v>
      </c>
      <c r="BC4" s="5" t="s">
        <v>135</v>
      </c>
      <c r="BD4" s="5" t="s">
        <v>136</v>
      </c>
      <c r="BE4" s="5" t="s">
        <v>137</v>
      </c>
      <c r="BF4" s="5" t="s">
        <v>138</v>
      </c>
      <c r="BG4" s="5" t="s">
        <v>139</v>
      </c>
      <c r="BH4" s="5" t="s">
        <v>140</v>
      </c>
      <c r="BI4" s="5" t="s">
        <v>141</v>
      </c>
      <c r="BJ4" s="5" t="s">
        <v>142</v>
      </c>
      <c r="BK4" s="5" t="s">
        <v>143</v>
      </c>
      <c r="BL4" s="5" t="s">
        <v>144</v>
      </c>
      <c r="BM4" s="5" t="s">
        <v>145</v>
      </c>
      <c r="BN4" s="5" t="s">
        <v>146</v>
      </c>
      <c r="BO4" s="5" t="s">
        <v>147</v>
      </c>
      <c r="BP4" s="5" t="s">
        <v>147</v>
      </c>
      <c r="BQ4" s="5" t="s">
        <v>148</v>
      </c>
      <c r="BR4" s="5" t="s">
        <v>149</v>
      </c>
      <c r="BS4" s="5" t="s">
        <v>150</v>
      </c>
      <c r="BT4" s="5" t="s">
        <v>151</v>
      </c>
      <c r="BU4" s="5" t="s">
        <v>152</v>
      </c>
      <c r="BV4" s="5" t="s">
        <v>153</v>
      </c>
      <c r="BW4" s="5" t="s">
        <v>154</v>
      </c>
      <c r="BX4" s="5" t="s">
        <v>155</v>
      </c>
      <c r="BY4" s="5" t="s">
        <v>156</v>
      </c>
      <c r="BZ4" s="5" t="s">
        <v>157</v>
      </c>
      <c r="CA4" s="5" t="s">
        <v>158</v>
      </c>
      <c r="CB4" s="5" t="s">
        <v>159</v>
      </c>
      <c r="CC4" s="5" t="s">
        <v>160</v>
      </c>
      <c r="CD4" s="5" t="s">
        <v>161</v>
      </c>
      <c r="CE4" s="5" t="s">
        <v>162</v>
      </c>
      <c r="CF4" s="5" t="s">
        <v>163</v>
      </c>
      <c r="CG4" s="5" t="s">
        <v>164</v>
      </c>
      <c r="CH4" s="5" t="s">
        <v>165</v>
      </c>
      <c r="CI4" s="5" t="s">
        <v>166</v>
      </c>
      <c r="CJ4" s="5" t="s">
        <v>167</v>
      </c>
      <c r="CK4" s="5" t="s">
        <v>168</v>
      </c>
      <c r="CL4" s="5" t="s">
        <v>169</v>
      </c>
      <c r="CM4" s="5" t="s">
        <v>170</v>
      </c>
      <c r="CN4" s="5" t="s">
        <v>171</v>
      </c>
      <c r="CO4" s="5" t="s">
        <v>172</v>
      </c>
      <c r="CP4" s="5" t="s">
        <v>173</v>
      </c>
      <c r="CQ4" s="5" t="s">
        <v>174</v>
      </c>
      <c r="CR4" s="5" t="s">
        <v>175</v>
      </c>
      <c r="CS4" s="5" t="s">
        <v>176</v>
      </c>
      <c r="CT4" s="5" t="s">
        <v>177</v>
      </c>
      <c r="CU4" s="5" t="s">
        <v>178</v>
      </c>
      <c r="CV4" s="5" t="s">
        <v>179</v>
      </c>
      <c r="CW4" s="5" t="s">
        <v>180</v>
      </c>
      <c r="CX4" s="5" t="s">
        <v>181</v>
      </c>
      <c r="CY4" s="5" t="s">
        <v>182</v>
      </c>
      <c r="CZ4" s="5" t="s">
        <v>183</v>
      </c>
      <c r="DA4" s="5" t="s">
        <v>184</v>
      </c>
      <c r="DB4" s="10"/>
    </row>
    <row r="5" s="2" customFormat="1" customHeight="1" spans="2:106">
      <c r="B5" s="2">
        <v>176</v>
      </c>
      <c r="C5" s="3">
        <v>1</v>
      </c>
      <c r="D5" s="3" t="s">
        <v>27</v>
      </c>
      <c r="E5" s="3" t="s">
        <v>185</v>
      </c>
      <c r="F5" s="3" t="s">
        <v>185</v>
      </c>
      <c r="G5" s="3" t="s">
        <v>185</v>
      </c>
      <c r="H5" s="3" t="s">
        <v>185</v>
      </c>
      <c r="I5" s="3" t="s">
        <v>185</v>
      </c>
      <c r="J5" s="3" t="s">
        <v>185</v>
      </c>
      <c r="K5" s="3" t="s">
        <v>185</v>
      </c>
      <c r="L5" s="3" t="s">
        <v>185</v>
      </c>
      <c r="M5" s="3" t="s">
        <v>185</v>
      </c>
      <c r="N5" s="3" t="s">
        <v>185</v>
      </c>
      <c r="O5" s="3" t="s">
        <v>185</v>
      </c>
      <c r="P5" s="3" t="s">
        <v>185</v>
      </c>
      <c r="Q5" s="3" t="s">
        <v>185</v>
      </c>
      <c r="R5" s="3" t="s">
        <v>185</v>
      </c>
      <c r="S5" s="3" t="s">
        <v>185</v>
      </c>
      <c r="T5" s="3" t="s">
        <v>185</v>
      </c>
      <c r="U5" s="3" t="s">
        <v>185</v>
      </c>
      <c r="V5" s="3" t="s">
        <v>185</v>
      </c>
      <c r="W5" s="3" t="s">
        <v>185</v>
      </c>
      <c r="X5" s="3" t="s">
        <v>185</v>
      </c>
      <c r="Y5" s="3" t="s">
        <v>185</v>
      </c>
      <c r="Z5" s="3" t="s">
        <v>185</v>
      </c>
      <c r="AA5" s="3" t="s">
        <v>185</v>
      </c>
      <c r="AB5" s="3" t="s">
        <v>185</v>
      </c>
      <c r="AC5" s="3" t="s">
        <v>185</v>
      </c>
      <c r="AD5" s="3" t="s">
        <v>185</v>
      </c>
      <c r="AE5" s="3" t="s">
        <v>185</v>
      </c>
      <c r="AF5" s="3" t="s">
        <v>185</v>
      </c>
      <c r="AG5" s="3" t="s">
        <v>185</v>
      </c>
      <c r="AH5" s="3" t="s">
        <v>185</v>
      </c>
      <c r="AI5" s="3" t="s">
        <v>185</v>
      </c>
      <c r="AJ5" s="3" t="s">
        <v>185</v>
      </c>
      <c r="AK5" s="3" t="s">
        <v>185</v>
      </c>
      <c r="AL5" s="3" t="s">
        <v>185</v>
      </c>
      <c r="AM5" s="3" t="s">
        <v>185</v>
      </c>
      <c r="AN5" s="3" t="s">
        <v>185</v>
      </c>
      <c r="AO5" s="3" t="s">
        <v>185</v>
      </c>
      <c r="AP5" s="3" t="s">
        <v>185</v>
      </c>
      <c r="AQ5" s="3" t="s">
        <v>185</v>
      </c>
      <c r="AR5" s="3" t="s">
        <v>185</v>
      </c>
      <c r="AS5" s="3" t="s">
        <v>185</v>
      </c>
      <c r="AT5" s="3" t="s">
        <v>185</v>
      </c>
      <c r="AU5" s="3" t="s">
        <v>185</v>
      </c>
      <c r="AV5" s="3" t="s">
        <v>185</v>
      </c>
      <c r="AW5" s="3" t="s">
        <v>185</v>
      </c>
      <c r="AX5" s="3" t="s">
        <v>185</v>
      </c>
      <c r="AY5" s="3" t="s">
        <v>185</v>
      </c>
      <c r="AZ5" s="3" t="s">
        <v>185</v>
      </c>
      <c r="BA5" s="3" t="s">
        <v>185</v>
      </c>
      <c r="BB5" s="3" t="s">
        <v>185</v>
      </c>
      <c r="BC5" s="3" t="s">
        <v>186</v>
      </c>
      <c r="BD5" s="3" t="s">
        <v>185</v>
      </c>
      <c r="BE5" s="3" t="s">
        <v>185</v>
      </c>
      <c r="BF5" s="3" t="s">
        <v>185</v>
      </c>
      <c r="BG5" s="3" t="s">
        <v>185</v>
      </c>
      <c r="BH5" s="3" t="s">
        <v>185</v>
      </c>
      <c r="BI5" s="3" t="s">
        <v>185</v>
      </c>
      <c r="BJ5" s="3" t="s">
        <v>185</v>
      </c>
      <c r="BK5" s="3" t="s">
        <v>185</v>
      </c>
      <c r="BL5" s="3" t="s">
        <v>185</v>
      </c>
      <c r="BM5" s="3" t="s">
        <v>185</v>
      </c>
      <c r="BN5" s="3" t="s">
        <v>185</v>
      </c>
      <c r="BO5" s="3" t="s">
        <v>185</v>
      </c>
      <c r="BP5" s="3" t="s">
        <v>185</v>
      </c>
      <c r="BQ5" s="3" t="s">
        <v>185</v>
      </c>
      <c r="BR5" s="3" t="s">
        <v>185</v>
      </c>
      <c r="BS5" s="3" t="s">
        <v>185</v>
      </c>
      <c r="BT5" s="3" t="s">
        <v>185</v>
      </c>
      <c r="BU5" s="3" t="s">
        <v>185</v>
      </c>
      <c r="BV5" s="3" t="s">
        <v>185</v>
      </c>
      <c r="BW5" s="3" t="s">
        <v>185</v>
      </c>
      <c r="BX5" s="3" t="s">
        <v>185</v>
      </c>
      <c r="BY5" s="3" t="s">
        <v>185</v>
      </c>
      <c r="BZ5" s="3" t="s">
        <v>185</v>
      </c>
      <c r="CA5" s="3" t="s">
        <v>185</v>
      </c>
      <c r="CB5" s="3" t="s">
        <v>185</v>
      </c>
      <c r="CC5" s="3" t="s">
        <v>185</v>
      </c>
      <c r="CD5" s="3" t="s">
        <v>185</v>
      </c>
      <c r="CE5" s="3" t="s">
        <v>185</v>
      </c>
      <c r="CF5" s="3" t="s">
        <v>185</v>
      </c>
      <c r="CG5" s="3" t="s">
        <v>185</v>
      </c>
      <c r="CH5" s="3" t="s">
        <v>185</v>
      </c>
      <c r="CI5" s="3" t="s">
        <v>185</v>
      </c>
      <c r="CJ5" s="3" t="s">
        <v>185</v>
      </c>
      <c r="CK5" s="3" t="s">
        <v>185</v>
      </c>
      <c r="CL5" s="3" t="s">
        <v>185</v>
      </c>
      <c r="CM5" s="3" t="s">
        <v>185</v>
      </c>
      <c r="CN5" s="3" t="s">
        <v>185</v>
      </c>
      <c r="CO5" s="3" t="s">
        <v>185</v>
      </c>
      <c r="CP5" s="3" t="s">
        <v>185</v>
      </c>
      <c r="CQ5" s="3" t="s">
        <v>185</v>
      </c>
      <c r="CR5" s="3" t="s">
        <v>185</v>
      </c>
      <c r="CS5" s="3" t="s">
        <v>185</v>
      </c>
      <c r="CT5" s="3" t="s">
        <v>185</v>
      </c>
      <c r="CU5" s="3" t="s">
        <v>185</v>
      </c>
      <c r="CV5" s="3" t="s">
        <v>185</v>
      </c>
      <c r="CW5" s="3" t="s">
        <v>185</v>
      </c>
      <c r="CX5" s="3" t="s">
        <v>185</v>
      </c>
      <c r="CY5" s="3" t="s">
        <v>185</v>
      </c>
      <c r="CZ5" s="3" t="s">
        <v>185</v>
      </c>
      <c r="DA5" s="3" t="s">
        <v>187</v>
      </c>
      <c r="DB5" s="9" t="s">
        <v>30</v>
      </c>
    </row>
    <row r="6" s="2" customFormat="1" customHeight="1" spans="2:106">
      <c r="B6" s="2">
        <v>802</v>
      </c>
      <c r="C6" s="3">
        <v>2</v>
      </c>
      <c r="D6" s="3" t="s">
        <v>188</v>
      </c>
      <c r="E6" s="3" t="s">
        <v>185</v>
      </c>
      <c r="F6" s="3" t="s">
        <v>185</v>
      </c>
      <c r="G6" s="3" t="s">
        <v>185</v>
      </c>
      <c r="H6" s="3" t="s">
        <v>185</v>
      </c>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t="s">
        <v>187</v>
      </c>
      <c r="DB6" s="9" t="s">
        <v>56</v>
      </c>
    </row>
    <row r="7" s="2" customFormat="1" customHeight="1" spans="2:106">
      <c r="B7" s="2">
        <v>811</v>
      </c>
      <c r="C7" s="3">
        <v>3</v>
      </c>
      <c r="D7" s="3" t="s">
        <v>57</v>
      </c>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t="s">
        <v>187</v>
      </c>
      <c r="DB7" s="9" t="s">
        <v>60</v>
      </c>
    </row>
    <row r="8" s="2" customFormat="1" customHeight="1" spans="2:106">
      <c r="B8" s="2">
        <v>812</v>
      </c>
      <c r="C8" s="3">
        <v>4</v>
      </c>
      <c r="D8" s="3" t="s">
        <v>61</v>
      </c>
      <c r="E8" s="3" t="s">
        <v>186</v>
      </c>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t="s">
        <v>187</v>
      </c>
      <c r="DB8" s="9" t="s">
        <v>64</v>
      </c>
    </row>
    <row r="9" s="2" customFormat="1" customHeight="1" spans="2:106">
      <c r="B9" s="2">
        <v>813</v>
      </c>
      <c r="C9" s="3">
        <v>5</v>
      </c>
      <c r="D9" s="3" t="s">
        <v>65</v>
      </c>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t="s">
        <v>187</v>
      </c>
      <c r="DB9" s="9" t="s">
        <v>68</v>
      </c>
    </row>
    <row r="10" s="2" customFormat="1" customHeight="1" spans="2:106">
      <c r="B10" s="2">
        <v>814</v>
      </c>
      <c r="C10" s="3">
        <v>6</v>
      </c>
      <c r="D10" s="3" t="s">
        <v>69</v>
      </c>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t="s">
        <v>187</v>
      </c>
      <c r="DB10" s="9" t="s">
        <v>72</v>
      </c>
    </row>
    <row r="11" s="2" customFormat="1" customHeight="1" spans="2:106">
      <c r="B11" s="2">
        <v>815</v>
      </c>
      <c r="C11" s="3">
        <v>7</v>
      </c>
      <c r="D11" s="3" t="s">
        <v>73</v>
      </c>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t="s">
        <v>187</v>
      </c>
      <c r="DB11" s="9" t="s">
        <v>76</v>
      </c>
    </row>
    <row r="12" s="2" customFormat="1" customHeight="1" spans="2:106">
      <c r="B12" s="2">
        <v>816</v>
      </c>
      <c r="C12" s="3">
        <v>8</v>
      </c>
      <c r="D12" s="3" t="s">
        <v>77</v>
      </c>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t="s">
        <v>187</v>
      </c>
      <c r="DB12" s="9" t="s">
        <v>80</v>
      </c>
    </row>
    <row r="13" customHeight="1" spans="2:106">
      <c r="B13" s="2">
        <v>853</v>
      </c>
      <c r="C13" s="3">
        <v>9</v>
      </c>
      <c r="D13" s="3" t="s">
        <v>189</v>
      </c>
      <c r="DA13" s="3" t="s">
        <v>187</v>
      </c>
      <c r="DB13" s="9" t="s">
        <v>190</v>
      </c>
    </row>
    <row r="14" customHeight="1" spans="2:106">
      <c r="B14" s="2">
        <v>859</v>
      </c>
      <c r="C14" s="3">
        <v>10</v>
      </c>
      <c r="D14" s="3" t="s">
        <v>81</v>
      </c>
      <c r="DA14" s="3" t="s">
        <v>187</v>
      </c>
      <c r="DB14" s="9" t="s">
        <v>83</v>
      </c>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DA5:DA1048576">
    <cfRule type="expression" dxfId="0" priority="1">
      <formula>MOD(ROW(),2)=0</formula>
    </cfRule>
  </conditionalFormatting>
  <conditionalFormatting sqref="C5:K1048576">
    <cfRule type="expression" dxfId="0" priority="95">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I13"/>
  <sheetViews>
    <sheetView showGridLines="0" workbookViewId="0">
      <pane ySplit="4" topLeftCell="A5" activePane="bottomLeft" state="frozen"/>
      <selection/>
      <selection pane="bottomLeft" activeCell="F5" sqref="F5"/>
    </sheetView>
  </sheetViews>
  <sheetFormatPr defaultColWidth="9" defaultRowHeight="20" customHeight="1"/>
  <cols>
    <col min="1" max="1" width="3.625" style="2" customWidth="1"/>
    <col min="2" max="2" width="3.625" style="2" hidden="1" customWidth="1"/>
    <col min="3" max="3" width="6.125" style="3" customWidth="1"/>
    <col min="4" max="9" width="18.875" style="3" customWidth="1"/>
    <col min="10" max="16384" width="9" style="2"/>
  </cols>
  <sheetData>
    <row r="1" s="1" customFormat="1" ht="50" customHeight="1"/>
    <row r="2" s="1" customFormat="1" ht="40" hidden="1" customHeight="1"/>
    <row r="3" s="1" customFormat="1" ht="40" customHeight="1" spans="3:3">
      <c r="C3" s="4" t="s">
        <v>191</v>
      </c>
    </row>
    <row r="4" s="1" customFormat="1" ht="30" customHeight="1" spans="3:9">
      <c r="C4" s="5" t="s">
        <v>41</v>
      </c>
      <c r="D4" s="5" t="s">
        <v>45</v>
      </c>
      <c r="E4" s="5" t="s">
        <v>192</v>
      </c>
      <c r="F4" s="5" t="s">
        <v>193</v>
      </c>
      <c r="G4" s="5" t="s">
        <v>194</v>
      </c>
      <c r="H4" s="5" t="s">
        <v>195</v>
      </c>
      <c r="I4" s="5" t="s">
        <v>196</v>
      </c>
    </row>
    <row r="5" s="2" customFormat="1" customHeight="1" spans="2:9">
      <c r="B5" s="2">
        <v>31</v>
      </c>
      <c r="C5" s="3">
        <v>1</v>
      </c>
      <c r="D5" s="3" t="s">
        <v>29</v>
      </c>
      <c r="E5" s="3" t="s">
        <v>31</v>
      </c>
      <c r="F5" s="3" t="s">
        <v>32</v>
      </c>
      <c r="G5" s="3" t="s">
        <v>32</v>
      </c>
      <c r="H5" s="3" t="s">
        <v>32</v>
      </c>
      <c r="I5" s="3" t="s">
        <v>32</v>
      </c>
    </row>
    <row r="6" s="2" customFormat="1" customHeight="1" spans="2:9">
      <c r="B6" s="2">
        <v>35</v>
      </c>
      <c r="C6" s="3">
        <v>2</v>
      </c>
      <c r="D6" s="3" t="s">
        <v>29</v>
      </c>
      <c r="E6" s="3" t="s">
        <v>33</v>
      </c>
      <c r="F6" s="3" t="s">
        <v>32</v>
      </c>
      <c r="G6" s="3" t="s">
        <v>32</v>
      </c>
      <c r="H6" s="3" t="s">
        <v>32</v>
      </c>
      <c r="I6" s="3" t="s">
        <v>32</v>
      </c>
    </row>
    <row r="7" s="2" customFormat="1" customHeight="1" spans="2:9">
      <c r="B7" s="2">
        <v>36</v>
      </c>
      <c r="C7" s="3">
        <v>3</v>
      </c>
      <c r="D7" s="3" t="s">
        <v>29</v>
      </c>
      <c r="E7" s="3" t="s">
        <v>34</v>
      </c>
      <c r="F7" s="3" t="s">
        <v>32</v>
      </c>
      <c r="G7" s="3" t="s">
        <v>32</v>
      </c>
      <c r="H7" s="3" t="s">
        <v>32</v>
      </c>
      <c r="I7" s="3" t="s">
        <v>32</v>
      </c>
    </row>
    <row r="8" s="2" customFormat="1" customHeight="1" spans="2:9">
      <c r="B8" s="2">
        <v>37</v>
      </c>
      <c r="C8" s="3">
        <v>4</v>
      </c>
      <c r="D8" s="3" t="s">
        <v>29</v>
      </c>
      <c r="E8" s="3" t="s">
        <v>35</v>
      </c>
      <c r="F8" s="3" t="s">
        <v>32</v>
      </c>
      <c r="G8" s="3" t="s">
        <v>32</v>
      </c>
      <c r="H8" s="3" t="s">
        <v>32</v>
      </c>
      <c r="I8" s="3" t="s">
        <v>32</v>
      </c>
    </row>
    <row r="9" customHeight="1" spans="2:9">
      <c r="B9" s="2">
        <v>38</v>
      </c>
      <c r="C9" s="3">
        <v>5</v>
      </c>
      <c r="D9" s="3" t="s">
        <v>29</v>
      </c>
      <c r="E9" s="3" t="s">
        <v>1</v>
      </c>
      <c r="F9" s="3" t="s">
        <v>32</v>
      </c>
      <c r="G9" s="3" t="s">
        <v>32</v>
      </c>
      <c r="H9" s="3" t="s">
        <v>32</v>
      </c>
      <c r="I9" s="3" t="s">
        <v>32</v>
      </c>
    </row>
    <row r="10" customHeight="1" spans="2:9">
      <c r="B10" s="2">
        <v>39</v>
      </c>
      <c r="C10" s="3">
        <v>6</v>
      </c>
      <c r="D10" s="3" t="s">
        <v>29</v>
      </c>
      <c r="E10" s="3" t="s">
        <v>36</v>
      </c>
      <c r="F10" s="3" t="s">
        <v>32</v>
      </c>
      <c r="G10" s="3" t="s">
        <v>32</v>
      </c>
      <c r="H10" s="3" t="s">
        <v>32</v>
      </c>
      <c r="I10" s="3" t="s">
        <v>32</v>
      </c>
    </row>
    <row r="11" customHeight="1" spans="2:9">
      <c r="B11" s="2">
        <v>40</v>
      </c>
      <c r="C11" s="3">
        <v>7</v>
      </c>
      <c r="D11" s="3" t="s">
        <v>29</v>
      </c>
      <c r="E11" s="3" t="s">
        <v>37</v>
      </c>
      <c r="F11" s="3" t="s">
        <v>32</v>
      </c>
      <c r="G11" s="3" t="s">
        <v>32</v>
      </c>
      <c r="H11" s="3" t="s">
        <v>32</v>
      </c>
      <c r="I11" s="3" t="s">
        <v>32</v>
      </c>
    </row>
    <row r="12" customHeight="1" spans="2:9">
      <c r="B12" s="2">
        <v>41</v>
      </c>
      <c r="C12" s="3">
        <v>8</v>
      </c>
      <c r="D12" s="3" t="s">
        <v>29</v>
      </c>
      <c r="E12" s="3" t="s">
        <v>38</v>
      </c>
      <c r="F12" s="3" t="s">
        <v>32</v>
      </c>
      <c r="G12" s="3" t="s">
        <v>32</v>
      </c>
      <c r="H12" s="3" t="s">
        <v>32</v>
      </c>
      <c r="I12" s="3" t="s">
        <v>32</v>
      </c>
    </row>
    <row r="13" customHeight="1" spans="2:9">
      <c r="B13" s="2">
        <v>72</v>
      </c>
      <c r="C13" s="3">
        <v>9</v>
      </c>
      <c r="D13" s="3" t="s">
        <v>29</v>
      </c>
      <c r="E13" s="3" t="s">
        <v>39</v>
      </c>
      <c r="F13" s="3" t="s">
        <v>32</v>
      </c>
      <c r="G13" s="3" t="s">
        <v>32</v>
      </c>
      <c r="H13" s="3" t="s">
        <v>32</v>
      </c>
      <c r="I13" s="3" t="s">
        <v>32</v>
      </c>
    </row>
  </sheetData>
  <conditionalFormatting sqref="C5:I1048576">
    <cfRule type="expression" dxfId="0" priority="1">
      <formula>MOD(ROW(),2)=0</formula>
    </cfRule>
  </conditionalFormatting>
  <dataValidations count="2">
    <dataValidation type="list" allowBlank="1" showInputMessage="1" showErrorMessage="1" sqref="F14 F15 F16:F20 G14:G15 G16:G20 H14:H20 I14:I20 F21:I1048576 F5:I13">
      <formula1>"是,否"</formula1>
    </dataValidation>
    <dataValidation type="list" allowBlank="1" showInputMessage="1" showErrorMessage="1" sqref="E5:E1048576">
      <formula1>"工作台,工作台权限设置,部门权限设置,公司数据分析,人员管理,人员权限设置,人员数据分析,工作台使用状态,工作台公式设置"</formula1>
    </dataValidation>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CZ12"/>
  <sheetViews>
    <sheetView showGridLines="0" workbookViewId="0">
      <pane ySplit="4" topLeftCell="A5" activePane="bottomLeft" state="frozen"/>
      <selection/>
      <selection pane="bottomLeft" activeCell="P9" sqref="P9"/>
    </sheetView>
  </sheetViews>
  <sheetFormatPr defaultColWidth="9" defaultRowHeight="20" customHeight="1"/>
  <cols>
    <col min="1" max="1" width="3.625" style="2" customWidth="1"/>
    <col min="2" max="2" width="3.625" style="2" hidden="1" customWidth="1"/>
    <col min="3" max="3" width="6.125" style="3" customWidth="1"/>
    <col min="4" max="4" width="20.375" style="3" customWidth="1"/>
    <col min="5" max="104" width="5.375" style="3" customWidth="1"/>
    <col min="105" max="16384" width="9" style="2"/>
  </cols>
  <sheetData>
    <row r="1" s="1" customFormat="1" ht="50" customHeight="1"/>
    <row r="2" s="1" customFormat="1" ht="40" hidden="1" customHeight="1"/>
    <row r="3" s="1" customFormat="1" ht="40" customHeight="1" spans="3:3">
      <c r="C3" s="4" t="s">
        <v>197</v>
      </c>
    </row>
    <row r="4" s="1" customFormat="1" ht="30" customHeight="1" spans="3:104">
      <c r="C4" s="5" t="s">
        <v>41</v>
      </c>
      <c r="D4" s="5" t="s">
        <v>198</v>
      </c>
      <c r="E4" s="5" t="s">
        <v>85</v>
      </c>
      <c r="F4" s="5" t="s">
        <v>86</v>
      </c>
      <c r="G4" s="5" t="s">
        <v>87</v>
      </c>
      <c r="H4" s="5" t="s">
        <v>88</v>
      </c>
      <c r="I4" s="5" t="s">
        <v>89</v>
      </c>
      <c r="J4" s="5" t="s">
        <v>90</v>
      </c>
      <c r="K4" s="5" t="s">
        <v>91</v>
      </c>
      <c r="L4" s="5" t="s">
        <v>92</v>
      </c>
      <c r="M4" s="5" t="s">
        <v>93</v>
      </c>
      <c r="N4" s="5" t="s">
        <v>94</v>
      </c>
      <c r="O4" s="5" t="s">
        <v>95</v>
      </c>
      <c r="P4" s="5" t="s">
        <v>96</v>
      </c>
      <c r="Q4" s="5" t="s">
        <v>97</v>
      </c>
      <c r="R4" s="5" t="s">
        <v>98</v>
      </c>
      <c r="S4" s="5" t="s">
        <v>99</v>
      </c>
      <c r="T4" s="5" t="s">
        <v>100</v>
      </c>
      <c r="U4" s="5" t="s">
        <v>101</v>
      </c>
      <c r="V4" s="5" t="s">
        <v>102</v>
      </c>
      <c r="W4" s="5" t="s">
        <v>103</v>
      </c>
      <c r="X4" s="5" t="s">
        <v>104</v>
      </c>
      <c r="Y4" s="5" t="s">
        <v>105</v>
      </c>
      <c r="Z4" s="5" t="s">
        <v>106</v>
      </c>
      <c r="AA4" s="5" t="s">
        <v>107</v>
      </c>
      <c r="AB4" s="5" t="s">
        <v>108</v>
      </c>
      <c r="AC4" s="5" t="s">
        <v>109</v>
      </c>
      <c r="AD4" s="5" t="s">
        <v>110</v>
      </c>
      <c r="AE4" s="5" t="s">
        <v>111</v>
      </c>
      <c r="AF4" s="5" t="s">
        <v>112</v>
      </c>
      <c r="AG4" s="5" t="s">
        <v>113</v>
      </c>
      <c r="AH4" s="5" t="s">
        <v>114</v>
      </c>
      <c r="AI4" s="5" t="s">
        <v>115</v>
      </c>
      <c r="AJ4" s="5" t="s">
        <v>116</v>
      </c>
      <c r="AK4" s="5" t="s">
        <v>117</v>
      </c>
      <c r="AL4" s="5" t="s">
        <v>118</v>
      </c>
      <c r="AM4" s="5" t="s">
        <v>119</v>
      </c>
      <c r="AN4" s="5" t="s">
        <v>120</v>
      </c>
      <c r="AO4" s="5" t="s">
        <v>121</v>
      </c>
      <c r="AP4" s="5" t="s">
        <v>122</v>
      </c>
      <c r="AQ4" s="5" t="s">
        <v>123</v>
      </c>
      <c r="AR4" s="5" t="s">
        <v>124</v>
      </c>
      <c r="AS4" s="5" t="s">
        <v>125</v>
      </c>
      <c r="AT4" s="5" t="s">
        <v>126</v>
      </c>
      <c r="AU4" s="5" t="s">
        <v>127</v>
      </c>
      <c r="AV4" s="5" t="s">
        <v>128</v>
      </c>
      <c r="AW4" s="5" t="s">
        <v>129</v>
      </c>
      <c r="AX4" s="5" t="s">
        <v>130</v>
      </c>
      <c r="AY4" s="5" t="s">
        <v>131</v>
      </c>
      <c r="AZ4" s="5" t="s">
        <v>132</v>
      </c>
      <c r="BA4" s="5" t="s">
        <v>133</v>
      </c>
      <c r="BB4" s="5" t="s">
        <v>134</v>
      </c>
      <c r="BC4" s="5" t="s">
        <v>135</v>
      </c>
      <c r="BD4" s="5" t="s">
        <v>136</v>
      </c>
      <c r="BE4" s="5" t="s">
        <v>137</v>
      </c>
      <c r="BF4" s="5" t="s">
        <v>138</v>
      </c>
      <c r="BG4" s="5" t="s">
        <v>139</v>
      </c>
      <c r="BH4" s="5" t="s">
        <v>140</v>
      </c>
      <c r="BI4" s="5" t="s">
        <v>141</v>
      </c>
      <c r="BJ4" s="5" t="s">
        <v>142</v>
      </c>
      <c r="BK4" s="5" t="s">
        <v>143</v>
      </c>
      <c r="BL4" s="5" t="s">
        <v>144</v>
      </c>
      <c r="BM4" s="5" t="s">
        <v>145</v>
      </c>
      <c r="BN4" s="5" t="s">
        <v>146</v>
      </c>
      <c r="BO4" s="5" t="s">
        <v>147</v>
      </c>
      <c r="BP4" s="5" t="s">
        <v>147</v>
      </c>
      <c r="BQ4" s="5" t="s">
        <v>148</v>
      </c>
      <c r="BR4" s="5" t="s">
        <v>149</v>
      </c>
      <c r="BS4" s="5" t="s">
        <v>150</v>
      </c>
      <c r="BT4" s="5" t="s">
        <v>151</v>
      </c>
      <c r="BU4" s="5" t="s">
        <v>152</v>
      </c>
      <c r="BV4" s="5" t="s">
        <v>153</v>
      </c>
      <c r="BW4" s="5" t="s">
        <v>154</v>
      </c>
      <c r="BX4" s="5" t="s">
        <v>155</v>
      </c>
      <c r="BY4" s="5" t="s">
        <v>156</v>
      </c>
      <c r="BZ4" s="5" t="s">
        <v>157</v>
      </c>
      <c r="CA4" s="5" t="s">
        <v>158</v>
      </c>
      <c r="CB4" s="5" t="s">
        <v>159</v>
      </c>
      <c r="CC4" s="5" t="s">
        <v>160</v>
      </c>
      <c r="CD4" s="5" t="s">
        <v>161</v>
      </c>
      <c r="CE4" s="5" t="s">
        <v>162</v>
      </c>
      <c r="CF4" s="5" t="s">
        <v>163</v>
      </c>
      <c r="CG4" s="5" t="s">
        <v>164</v>
      </c>
      <c r="CH4" s="5" t="s">
        <v>165</v>
      </c>
      <c r="CI4" s="5" t="s">
        <v>166</v>
      </c>
      <c r="CJ4" s="5" t="s">
        <v>167</v>
      </c>
      <c r="CK4" s="5" t="s">
        <v>168</v>
      </c>
      <c r="CL4" s="5" t="s">
        <v>169</v>
      </c>
      <c r="CM4" s="5" t="s">
        <v>170</v>
      </c>
      <c r="CN4" s="5" t="s">
        <v>171</v>
      </c>
      <c r="CO4" s="5" t="s">
        <v>172</v>
      </c>
      <c r="CP4" s="5" t="s">
        <v>173</v>
      </c>
      <c r="CQ4" s="5" t="s">
        <v>174</v>
      </c>
      <c r="CR4" s="5" t="s">
        <v>175</v>
      </c>
      <c r="CS4" s="5" t="s">
        <v>176</v>
      </c>
      <c r="CT4" s="5" t="s">
        <v>177</v>
      </c>
      <c r="CU4" s="5" t="s">
        <v>178</v>
      </c>
      <c r="CV4" s="5" t="s">
        <v>179</v>
      </c>
      <c r="CW4" s="5" t="s">
        <v>180</v>
      </c>
      <c r="CX4" s="5" t="s">
        <v>181</v>
      </c>
      <c r="CY4" s="5" t="s">
        <v>182</v>
      </c>
      <c r="CZ4" s="5" t="s">
        <v>183</v>
      </c>
    </row>
    <row r="5" s="2" customFormat="1" customHeight="1" spans="2:104">
      <c r="B5" s="2">
        <v>8</v>
      </c>
      <c r="C5" s="3">
        <v>1</v>
      </c>
      <c r="D5" s="3" t="s">
        <v>26</v>
      </c>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C5:K1048576">
    <cfRule type="expression" dxfId="0" priority="95">
      <formula>MOD(ROW(),2)=0</formula>
    </cfRule>
  </conditionalFormatting>
  <dataValidations count="1">
    <dataValidation allowBlank="1" showInputMessage="1" showErrorMessage="1" sqref="E5:CZ1048576"/>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CZ12"/>
  <sheetViews>
    <sheetView showGridLines="0" workbookViewId="0">
      <selection activeCell="M17" sqref="M17"/>
    </sheetView>
  </sheetViews>
  <sheetFormatPr defaultColWidth="9" defaultRowHeight="20" customHeight="1"/>
  <cols>
    <col min="1" max="1" width="3.625" style="2" customWidth="1"/>
    <col min="2" max="2" width="3.625" style="2" hidden="1" customWidth="1"/>
    <col min="3" max="3" width="6.125" style="3" customWidth="1"/>
    <col min="4" max="4" width="19.875" style="3" customWidth="1"/>
    <col min="5" max="104" width="5.375" style="3" customWidth="1"/>
    <col min="105" max="16384" width="9" style="2"/>
  </cols>
  <sheetData>
    <row r="1" s="1" customFormat="1" ht="50" customHeight="1"/>
    <row r="2" s="1" customFormat="1" ht="40" hidden="1" customHeight="1"/>
    <row r="3" s="1" customFormat="1" ht="40" customHeight="1" spans="3:3">
      <c r="C3" s="4" t="s">
        <v>199</v>
      </c>
    </row>
    <row r="4" s="1" customFormat="1" ht="30" customHeight="1" spans="3:104">
      <c r="C4" s="5" t="s">
        <v>41</v>
      </c>
      <c r="D4" s="5" t="s">
        <v>198</v>
      </c>
      <c r="E4" s="5" t="s">
        <v>85</v>
      </c>
      <c r="F4" s="5" t="s">
        <v>86</v>
      </c>
      <c r="G4" s="5" t="s">
        <v>87</v>
      </c>
      <c r="H4" s="5" t="s">
        <v>88</v>
      </c>
      <c r="I4" s="5" t="s">
        <v>89</v>
      </c>
      <c r="J4" s="5" t="s">
        <v>90</v>
      </c>
      <c r="K4" s="5" t="s">
        <v>91</v>
      </c>
      <c r="L4" s="5" t="s">
        <v>92</v>
      </c>
      <c r="M4" s="5" t="s">
        <v>93</v>
      </c>
      <c r="N4" s="5" t="s">
        <v>94</v>
      </c>
      <c r="O4" s="5" t="s">
        <v>95</v>
      </c>
      <c r="P4" s="5" t="s">
        <v>96</v>
      </c>
      <c r="Q4" s="5" t="s">
        <v>97</v>
      </c>
      <c r="R4" s="5" t="s">
        <v>98</v>
      </c>
      <c r="S4" s="5" t="s">
        <v>99</v>
      </c>
      <c r="T4" s="5" t="s">
        <v>100</v>
      </c>
      <c r="U4" s="5" t="s">
        <v>101</v>
      </c>
      <c r="V4" s="5" t="s">
        <v>102</v>
      </c>
      <c r="W4" s="5" t="s">
        <v>103</v>
      </c>
      <c r="X4" s="5" t="s">
        <v>104</v>
      </c>
      <c r="Y4" s="5" t="s">
        <v>105</v>
      </c>
      <c r="Z4" s="5" t="s">
        <v>106</v>
      </c>
      <c r="AA4" s="5" t="s">
        <v>107</v>
      </c>
      <c r="AB4" s="5" t="s">
        <v>108</v>
      </c>
      <c r="AC4" s="5" t="s">
        <v>109</v>
      </c>
      <c r="AD4" s="5" t="s">
        <v>110</v>
      </c>
      <c r="AE4" s="5" t="s">
        <v>111</v>
      </c>
      <c r="AF4" s="5" t="s">
        <v>112</v>
      </c>
      <c r="AG4" s="5" t="s">
        <v>113</v>
      </c>
      <c r="AH4" s="5" t="s">
        <v>114</v>
      </c>
      <c r="AI4" s="5" t="s">
        <v>115</v>
      </c>
      <c r="AJ4" s="5" t="s">
        <v>116</v>
      </c>
      <c r="AK4" s="5" t="s">
        <v>117</v>
      </c>
      <c r="AL4" s="5" t="s">
        <v>118</v>
      </c>
      <c r="AM4" s="5" t="s">
        <v>119</v>
      </c>
      <c r="AN4" s="5" t="s">
        <v>120</v>
      </c>
      <c r="AO4" s="5" t="s">
        <v>121</v>
      </c>
      <c r="AP4" s="5" t="s">
        <v>122</v>
      </c>
      <c r="AQ4" s="5" t="s">
        <v>123</v>
      </c>
      <c r="AR4" s="5" t="s">
        <v>124</v>
      </c>
      <c r="AS4" s="5" t="s">
        <v>125</v>
      </c>
      <c r="AT4" s="5" t="s">
        <v>126</v>
      </c>
      <c r="AU4" s="5" t="s">
        <v>127</v>
      </c>
      <c r="AV4" s="5" t="s">
        <v>128</v>
      </c>
      <c r="AW4" s="5" t="s">
        <v>129</v>
      </c>
      <c r="AX4" s="5" t="s">
        <v>130</v>
      </c>
      <c r="AY4" s="5" t="s">
        <v>131</v>
      </c>
      <c r="AZ4" s="5" t="s">
        <v>132</v>
      </c>
      <c r="BA4" s="5" t="s">
        <v>133</v>
      </c>
      <c r="BB4" s="5" t="s">
        <v>134</v>
      </c>
      <c r="BC4" s="5" t="s">
        <v>135</v>
      </c>
      <c r="BD4" s="5" t="s">
        <v>136</v>
      </c>
      <c r="BE4" s="5" t="s">
        <v>137</v>
      </c>
      <c r="BF4" s="5" t="s">
        <v>138</v>
      </c>
      <c r="BG4" s="5" t="s">
        <v>139</v>
      </c>
      <c r="BH4" s="5" t="s">
        <v>140</v>
      </c>
      <c r="BI4" s="5" t="s">
        <v>141</v>
      </c>
      <c r="BJ4" s="5" t="s">
        <v>142</v>
      </c>
      <c r="BK4" s="5" t="s">
        <v>143</v>
      </c>
      <c r="BL4" s="5" t="s">
        <v>144</v>
      </c>
      <c r="BM4" s="5" t="s">
        <v>145</v>
      </c>
      <c r="BN4" s="5" t="s">
        <v>146</v>
      </c>
      <c r="BO4" s="5" t="s">
        <v>147</v>
      </c>
      <c r="BP4" s="5" t="s">
        <v>147</v>
      </c>
      <c r="BQ4" s="5" t="s">
        <v>148</v>
      </c>
      <c r="BR4" s="5" t="s">
        <v>149</v>
      </c>
      <c r="BS4" s="5" t="s">
        <v>150</v>
      </c>
      <c r="BT4" s="5" t="s">
        <v>151</v>
      </c>
      <c r="BU4" s="5" t="s">
        <v>152</v>
      </c>
      <c r="BV4" s="5" t="s">
        <v>153</v>
      </c>
      <c r="BW4" s="5" t="s">
        <v>154</v>
      </c>
      <c r="BX4" s="5" t="s">
        <v>155</v>
      </c>
      <c r="BY4" s="5" t="s">
        <v>156</v>
      </c>
      <c r="BZ4" s="5" t="s">
        <v>157</v>
      </c>
      <c r="CA4" s="5" t="s">
        <v>158</v>
      </c>
      <c r="CB4" s="5" t="s">
        <v>159</v>
      </c>
      <c r="CC4" s="5" t="s">
        <v>160</v>
      </c>
      <c r="CD4" s="5" t="s">
        <v>161</v>
      </c>
      <c r="CE4" s="5" t="s">
        <v>162</v>
      </c>
      <c r="CF4" s="5" t="s">
        <v>163</v>
      </c>
      <c r="CG4" s="5" t="s">
        <v>164</v>
      </c>
      <c r="CH4" s="5" t="s">
        <v>165</v>
      </c>
      <c r="CI4" s="5" t="s">
        <v>166</v>
      </c>
      <c r="CJ4" s="5" t="s">
        <v>167</v>
      </c>
      <c r="CK4" s="5" t="s">
        <v>168</v>
      </c>
      <c r="CL4" s="5" t="s">
        <v>169</v>
      </c>
      <c r="CM4" s="5" t="s">
        <v>170</v>
      </c>
      <c r="CN4" s="5" t="s">
        <v>171</v>
      </c>
      <c r="CO4" s="5" t="s">
        <v>172</v>
      </c>
      <c r="CP4" s="5" t="s">
        <v>173</v>
      </c>
      <c r="CQ4" s="5" t="s">
        <v>174</v>
      </c>
      <c r="CR4" s="5" t="s">
        <v>175</v>
      </c>
      <c r="CS4" s="5" t="s">
        <v>176</v>
      </c>
      <c r="CT4" s="5" t="s">
        <v>177</v>
      </c>
      <c r="CU4" s="5" t="s">
        <v>178</v>
      </c>
      <c r="CV4" s="5" t="s">
        <v>179</v>
      </c>
      <c r="CW4" s="5" t="s">
        <v>180</v>
      </c>
      <c r="CX4" s="5" t="s">
        <v>181</v>
      </c>
      <c r="CY4" s="5" t="s">
        <v>182</v>
      </c>
      <c r="CZ4" s="5" t="s">
        <v>183</v>
      </c>
    </row>
    <row r="5" s="2" customFormat="1" customHeight="1" spans="2:104">
      <c r="B5" s="2">
        <v>2</v>
      </c>
      <c r="C5" s="3">
        <v>1</v>
      </c>
      <c r="D5" s="3" t="s">
        <v>26</v>
      </c>
      <c r="E5" s="3" t="s">
        <v>185</v>
      </c>
      <c r="F5" s="3" t="s">
        <v>185</v>
      </c>
      <c r="G5" s="3" t="s">
        <v>185</v>
      </c>
      <c r="H5" s="3" t="s">
        <v>185</v>
      </c>
      <c r="I5" s="3" t="s">
        <v>185</v>
      </c>
      <c r="J5" s="3" t="s">
        <v>185</v>
      </c>
      <c r="K5" s="3" t="s">
        <v>185</v>
      </c>
      <c r="L5" s="3" t="s">
        <v>185</v>
      </c>
      <c r="M5" s="3" t="s">
        <v>185</v>
      </c>
      <c r="N5" s="3" t="s">
        <v>185</v>
      </c>
      <c r="O5" s="3" t="s">
        <v>185</v>
      </c>
      <c r="P5" s="3" t="s">
        <v>185</v>
      </c>
      <c r="Q5" s="3" t="s">
        <v>185</v>
      </c>
      <c r="R5" s="3" t="s">
        <v>185</v>
      </c>
      <c r="S5" s="3" t="s">
        <v>185</v>
      </c>
      <c r="T5" s="3" t="s">
        <v>185</v>
      </c>
      <c r="U5" s="3" t="s">
        <v>185</v>
      </c>
      <c r="V5" s="3" t="s">
        <v>185</v>
      </c>
      <c r="W5" s="3" t="s">
        <v>185</v>
      </c>
      <c r="X5" s="3" t="s">
        <v>185</v>
      </c>
      <c r="Y5" s="3" t="s">
        <v>185</v>
      </c>
      <c r="Z5" s="3" t="s">
        <v>185</v>
      </c>
      <c r="AA5" s="3" t="s">
        <v>185</v>
      </c>
      <c r="AB5" s="3" t="s">
        <v>185</v>
      </c>
      <c r="AC5" s="3" t="s">
        <v>185</v>
      </c>
      <c r="AD5" s="3" t="s">
        <v>185</v>
      </c>
      <c r="AE5" s="3" t="s">
        <v>185</v>
      </c>
      <c r="AF5" s="3" t="s">
        <v>185</v>
      </c>
      <c r="AG5" s="3" t="s">
        <v>185</v>
      </c>
      <c r="AH5" s="3" t="s">
        <v>185</v>
      </c>
      <c r="AI5" s="3" t="s">
        <v>185</v>
      </c>
      <c r="AJ5" s="3" t="s">
        <v>185</v>
      </c>
      <c r="AK5" s="3" t="s">
        <v>185</v>
      </c>
      <c r="AL5" s="3" t="s">
        <v>185</v>
      </c>
      <c r="AM5" s="3" t="s">
        <v>185</v>
      </c>
      <c r="AN5" s="3" t="s">
        <v>185</v>
      </c>
      <c r="AO5" s="3" t="s">
        <v>185</v>
      </c>
      <c r="AP5" s="3" t="s">
        <v>185</v>
      </c>
      <c r="AQ5" s="3" t="s">
        <v>185</v>
      </c>
      <c r="AR5" s="3" t="s">
        <v>185</v>
      </c>
      <c r="AS5" s="3" t="s">
        <v>185</v>
      </c>
      <c r="AT5" s="3" t="s">
        <v>185</v>
      </c>
      <c r="AU5" s="3" t="s">
        <v>185</v>
      </c>
      <c r="AV5" s="3" t="s">
        <v>185</v>
      </c>
      <c r="AW5" s="3" t="s">
        <v>185</v>
      </c>
      <c r="AX5" s="3" t="s">
        <v>185</v>
      </c>
      <c r="AY5" s="3" t="s">
        <v>185</v>
      </c>
      <c r="AZ5" s="3" t="s">
        <v>185</v>
      </c>
      <c r="BA5" s="3" t="s">
        <v>185</v>
      </c>
      <c r="BB5" s="3" t="s">
        <v>185</v>
      </c>
      <c r="BC5" s="3" t="s">
        <v>185</v>
      </c>
      <c r="BD5" s="3" t="s">
        <v>185</v>
      </c>
      <c r="BE5" s="3" t="s">
        <v>185</v>
      </c>
      <c r="BF5" s="3" t="s">
        <v>185</v>
      </c>
      <c r="BG5" s="3" t="s">
        <v>185</v>
      </c>
      <c r="BH5" s="3" t="s">
        <v>185</v>
      </c>
      <c r="BI5" s="3" t="s">
        <v>185</v>
      </c>
      <c r="BJ5" s="3" t="s">
        <v>185</v>
      </c>
      <c r="BK5" s="3" t="s">
        <v>185</v>
      </c>
      <c r="BL5" s="3" t="s">
        <v>185</v>
      </c>
      <c r="BM5" s="3" t="s">
        <v>185</v>
      </c>
      <c r="BN5" s="3" t="s">
        <v>185</v>
      </c>
      <c r="BO5" s="3" t="s">
        <v>185</v>
      </c>
      <c r="BP5" s="3" t="s">
        <v>185</v>
      </c>
      <c r="BQ5" s="3" t="s">
        <v>185</v>
      </c>
      <c r="BR5" s="3" t="s">
        <v>185</v>
      </c>
      <c r="BS5" s="3" t="s">
        <v>185</v>
      </c>
      <c r="BT5" s="3" t="s">
        <v>185</v>
      </c>
      <c r="BU5" s="3" t="s">
        <v>185</v>
      </c>
      <c r="BV5" s="3" t="s">
        <v>185</v>
      </c>
      <c r="BW5" s="3" t="s">
        <v>185</v>
      </c>
      <c r="BX5" s="3" t="s">
        <v>185</v>
      </c>
      <c r="BY5" s="3" t="s">
        <v>185</v>
      </c>
      <c r="BZ5" s="3" t="s">
        <v>185</v>
      </c>
      <c r="CA5" s="3" t="s">
        <v>185</v>
      </c>
      <c r="CB5" s="3" t="s">
        <v>185</v>
      </c>
      <c r="CC5" s="3" t="s">
        <v>185</v>
      </c>
      <c r="CD5" s="3" t="s">
        <v>185</v>
      </c>
      <c r="CE5" s="3" t="s">
        <v>185</v>
      </c>
      <c r="CF5" s="3" t="s">
        <v>185</v>
      </c>
      <c r="CG5" s="3" t="s">
        <v>185</v>
      </c>
      <c r="CH5" s="3" t="s">
        <v>185</v>
      </c>
      <c r="CI5" s="3" t="s">
        <v>185</v>
      </c>
      <c r="CJ5" s="3" t="s">
        <v>185</v>
      </c>
      <c r="CK5" s="3" t="s">
        <v>185</v>
      </c>
      <c r="CL5" s="3" t="s">
        <v>185</v>
      </c>
      <c r="CM5" s="3" t="s">
        <v>185</v>
      </c>
      <c r="CN5" s="3" t="s">
        <v>185</v>
      </c>
      <c r="CO5" s="3" t="s">
        <v>185</v>
      </c>
      <c r="CP5" s="3" t="s">
        <v>185</v>
      </c>
      <c r="CQ5" s="3" t="s">
        <v>185</v>
      </c>
      <c r="CR5" s="3" t="s">
        <v>185</v>
      </c>
      <c r="CS5" s="3" t="s">
        <v>185</v>
      </c>
      <c r="CT5" s="3" t="s">
        <v>185</v>
      </c>
      <c r="CU5" s="3" t="s">
        <v>185</v>
      </c>
      <c r="CV5" s="3" t="s">
        <v>185</v>
      </c>
      <c r="CW5" s="3" t="s">
        <v>185</v>
      </c>
      <c r="CX5" s="3" t="s">
        <v>185</v>
      </c>
      <c r="CY5" s="3" t="s">
        <v>185</v>
      </c>
      <c r="CZ5" s="3" t="s">
        <v>185</v>
      </c>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3">
      <formula>MOD(ROW(),2)=0</formula>
    </cfRule>
  </conditionalFormatting>
  <conditionalFormatting sqref="M5:M1048576">
    <cfRule type="expression" dxfId="0" priority="92">
      <formula>MOD(ROW(),2)=0</formula>
    </cfRule>
  </conditionalFormatting>
  <conditionalFormatting sqref="N5:N1048576">
    <cfRule type="expression" dxfId="0" priority="91">
      <formula>MOD(ROW(),2)=0</formula>
    </cfRule>
  </conditionalFormatting>
  <conditionalFormatting sqref="O5:O1048576">
    <cfRule type="expression" dxfId="0" priority="90">
      <formula>MOD(ROW(),2)=0</formula>
    </cfRule>
  </conditionalFormatting>
  <conditionalFormatting sqref="P5:P1048576">
    <cfRule type="expression" dxfId="0" priority="89">
      <formula>MOD(ROW(),2)=0</formula>
    </cfRule>
  </conditionalFormatting>
  <conditionalFormatting sqref="Q5:Q1048576">
    <cfRule type="expression" dxfId="0" priority="88">
      <formula>MOD(ROW(),2)=0</formula>
    </cfRule>
  </conditionalFormatting>
  <conditionalFormatting sqref="R5:R1048576">
    <cfRule type="expression" dxfId="0" priority="87">
      <formula>MOD(ROW(),2)=0</formula>
    </cfRule>
  </conditionalFormatting>
  <conditionalFormatting sqref="S5:S1048576">
    <cfRule type="expression" dxfId="0" priority="86">
      <formula>MOD(ROW(),2)=0</formula>
    </cfRule>
  </conditionalFormatting>
  <conditionalFormatting sqref="T5:T1048576">
    <cfRule type="expression" dxfId="0" priority="85">
      <formula>MOD(ROW(),2)=0</formula>
    </cfRule>
  </conditionalFormatting>
  <conditionalFormatting sqref="U5:U1048576">
    <cfRule type="expression" dxfId="0" priority="84">
      <formula>MOD(ROW(),2)=0</formula>
    </cfRule>
  </conditionalFormatting>
  <conditionalFormatting sqref="V5:V1048576">
    <cfRule type="expression" dxfId="0" priority="83">
      <formula>MOD(ROW(),2)=0</formula>
    </cfRule>
  </conditionalFormatting>
  <conditionalFormatting sqref="W5:W1048576">
    <cfRule type="expression" dxfId="0" priority="82">
      <formula>MOD(ROW(),2)=0</formula>
    </cfRule>
  </conditionalFormatting>
  <conditionalFormatting sqref="X5:X1048576">
    <cfRule type="expression" dxfId="0" priority="81">
      <formula>MOD(ROW(),2)=0</formula>
    </cfRule>
  </conditionalFormatting>
  <conditionalFormatting sqref="Y5:Y1048576">
    <cfRule type="expression" dxfId="0" priority="80">
      <formula>MOD(ROW(),2)=0</formula>
    </cfRule>
  </conditionalFormatting>
  <conditionalFormatting sqref="Z5:Z1048576">
    <cfRule type="expression" dxfId="0" priority="79">
      <formula>MOD(ROW(),2)=0</formula>
    </cfRule>
  </conditionalFormatting>
  <conditionalFormatting sqref="AA5:AA1048576">
    <cfRule type="expression" dxfId="0" priority="78">
      <formula>MOD(ROW(),2)=0</formula>
    </cfRule>
  </conditionalFormatting>
  <conditionalFormatting sqref="AB5:AB1048576">
    <cfRule type="expression" dxfId="0" priority="77">
      <formula>MOD(ROW(),2)=0</formula>
    </cfRule>
  </conditionalFormatting>
  <conditionalFormatting sqref="AC5:AC1048576">
    <cfRule type="expression" dxfId="0" priority="76">
      <formula>MOD(ROW(),2)=0</formula>
    </cfRule>
  </conditionalFormatting>
  <conditionalFormatting sqref="AD5:AD1048576">
    <cfRule type="expression" dxfId="0" priority="75">
      <formula>MOD(ROW(),2)=0</formula>
    </cfRule>
  </conditionalFormatting>
  <conditionalFormatting sqref="AE5:AE1048576">
    <cfRule type="expression" dxfId="0" priority="74">
      <formula>MOD(ROW(),2)=0</formula>
    </cfRule>
  </conditionalFormatting>
  <conditionalFormatting sqref="AF5:AF1048576">
    <cfRule type="expression" dxfId="0" priority="73">
      <formula>MOD(ROW(),2)=0</formula>
    </cfRule>
  </conditionalFormatting>
  <conditionalFormatting sqref="AG5:AG1048576">
    <cfRule type="expression" dxfId="0" priority="72">
      <formula>MOD(ROW(),2)=0</formula>
    </cfRule>
  </conditionalFormatting>
  <conditionalFormatting sqref="AH5:AH1048576">
    <cfRule type="expression" dxfId="0" priority="71">
      <formula>MOD(ROW(),2)=0</formula>
    </cfRule>
  </conditionalFormatting>
  <conditionalFormatting sqref="AI5:AI1048576">
    <cfRule type="expression" dxfId="0" priority="70">
      <formula>MOD(ROW(),2)=0</formula>
    </cfRule>
  </conditionalFormatting>
  <conditionalFormatting sqref="AJ5:AJ1048576">
    <cfRule type="expression" dxfId="0" priority="69">
      <formula>MOD(ROW(),2)=0</formula>
    </cfRule>
  </conditionalFormatting>
  <conditionalFormatting sqref="AK5:AK1048576">
    <cfRule type="expression" dxfId="0" priority="68">
      <formula>MOD(ROW(),2)=0</formula>
    </cfRule>
  </conditionalFormatting>
  <conditionalFormatting sqref="AL5:AL1048576">
    <cfRule type="expression" dxfId="0" priority="67">
      <formula>MOD(ROW(),2)=0</formula>
    </cfRule>
  </conditionalFormatting>
  <conditionalFormatting sqref="AM5:AM1048576">
    <cfRule type="expression" dxfId="0" priority="66">
      <formula>MOD(ROW(),2)=0</formula>
    </cfRule>
  </conditionalFormatting>
  <conditionalFormatting sqref="AN5:AN1048576">
    <cfRule type="expression" dxfId="0" priority="65">
      <formula>MOD(ROW(),2)=0</formula>
    </cfRule>
  </conditionalFormatting>
  <conditionalFormatting sqref="AO5:AO1048576">
    <cfRule type="expression" dxfId="0" priority="64">
      <formula>MOD(ROW(),2)=0</formula>
    </cfRule>
  </conditionalFormatting>
  <conditionalFormatting sqref="AP5:AP1048576">
    <cfRule type="expression" dxfId="0" priority="63">
      <formula>MOD(ROW(),2)=0</formula>
    </cfRule>
  </conditionalFormatting>
  <conditionalFormatting sqref="AQ5:AQ1048576">
    <cfRule type="expression" dxfId="0" priority="62">
      <formula>MOD(ROW(),2)=0</formula>
    </cfRule>
  </conditionalFormatting>
  <conditionalFormatting sqref="AR5:AR1048576">
    <cfRule type="expression" dxfId="0" priority="61">
      <formula>MOD(ROW(),2)=0</formula>
    </cfRule>
  </conditionalFormatting>
  <conditionalFormatting sqref="AS5:AS1048576">
    <cfRule type="expression" dxfId="0" priority="60">
      <formula>MOD(ROW(),2)=0</formula>
    </cfRule>
  </conditionalFormatting>
  <conditionalFormatting sqref="AT5:AT1048576">
    <cfRule type="expression" dxfId="0" priority="59">
      <formula>MOD(ROW(),2)=0</formula>
    </cfRule>
  </conditionalFormatting>
  <conditionalFormatting sqref="AU5:AU1048576">
    <cfRule type="expression" dxfId="0" priority="58">
      <formula>MOD(ROW(),2)=0</formula>
    </cfRule>
  </conditionalFormatting>
  <conditionalFormatting sqref="AV5:AV1048576">
    <cfRule type="expression" dxfId="0" priority="57">
      <formula>MOD(ROW(),2)=0</formula>
    </cfRule>
  </conditionalFormatting>
  <conditionalFormatting sqref="AW5:AW1048576">
    <cfRule type="expression" dxfId="0" priority="56">
      <formula>MOD(ROW(),2)=0</formula>
    </cfRule>
  </conditionalFormatting>
  <conditionalFormatting sqref="AX5:AX1048576">
    <cfRule type="expression" dxfId="0" priority="55">
      <formula>MOD(ROW(),2)=0</formula>
    </cfRule>
  </conditionalFormatting>
  <conditionalFormatting sqref="AY5:AY1048576">
    <cfRule type="expression" dxfId="0" priority="54">
      <formula>MOD(ROW(),2)=0</formula>
    </cfRule>
  </conditionalFormatting>
  <conditionalFormatting sqref="AZ5:AZ1048576">
    <cfRule type="expression" dxfId="0" priority="53">
      <formula>MOD(ROW(),2)=0</formula>
    </cfRule>
  </conditionalFormatting>
  <conditionalFormatting sqref="BA5:BA1048576">
    <cfRule type="expression" dxfId="0" priority="52">
      <formula>MOD(ROW(),2)=0</formula>
    </cfRule>
  </conditionalFormatting>
  <conditionalFormatting sqref="BB5:BB1048576">
    <cfRule type="expression" dxfId="0" priority="51">
      <formula>MOD(ROW(),2)=0</formula>
    </cfRule>
  </conditionalFormatting>
  <conditionalFormatting sqref="BC5:BC1048576">
    <cfRule type="expression" dxfId="0" priority="50">
      <formula>MOD(ROW(),2)=0</formula>
    </cfRule>
  </conditionalFormatting>
  <conditionalFormatting sqref="BD5:BD1048576">
    <cfRule type="expression" dxfId="0" priority="49">
      <formula>MOD(ROW(),2)=0</formula>
    </cfRule>
  </conditionalFormatting>
  <conditionalFormatting sqref="BE5:BE1048576">
    <cfRule type="expression" dxfId="0" priority="48">
      <formula>MOD(ROW(),2)=0</formula>
    </cfRule>
  </conditionalFormatting>
  <conditionalFormatting sqref="BF5:BF1048576">
    <cfRule type="expression" dxfId="0" priority="47">
      <formula>MOD(ROW(),2)=0</formula>
    </cfRule>
  </conditionalFormatting>
  <conditionalFormatting sqref="BG5:BG1048576">
    <cfRule type="expression" dxfId="0" priority="46">
      <formula>MOD(ROW(),2)=0</formula>
    </cfRule>
  </conditionalFormatting>
  <conditionalFormatting sqref="BH5:BH1048576">
    <cfRule type="expression" dxfId="0" priority="45">
      <formula>MOD(ROW(),2)=0</formula>
    </cfRule>
  </conditionalFormatting>
  <conditionalFormatting sqref="BI5:BI1048576">
    <cfRule type="expression" dxfId="0" priority="44">
      <formula>MOD(ROW(),2)=0</formula>
    </cfRule>
  </conditionalFormatting>
  <conditionalFormatting sqref="BJ5:BJ1048576">
    <cfRule type="expression" dxfId="0" priority="43">
      <formula>MOD(ROW(),2)=0</formula>
    </cfRule>
  </conditionalFormatting>
  <conditionalFormatting sqref="BK5:BK1048576">
    <cfRule type="expression" dxfId="0" priority="42">
      <formula>MOD(ROW(),2)=0</formula>
    </cfRule>
  </conditionalFormatting>
  <conditionalFormatting sqref="BL5:BL1048576">
    <cfRule type="expression" dxfId="0" priority="41">
      <formula>MOD(ROW(),2)=0</formula>
    </cfRule>
  </conditionalFormatting>
  <conditionalFormatting sqref="BM5:BM1048576">
    <cfRule type="expression" dxfId="0" priority="40">
      <formula>MOD(ROW(),2)=0</formula>
    </cfRule>
  </conditionalFormatting>
  <conditionalFormatting sqref="BN5:BN1048576">
    <cfRule type="expression" dxfId="0" priority="39">
      <formula>MOD(ROW(),2)=0</formula>
    </cfRule>
  </conditionalFormatting>
  <conditionalFormatting sqref="BO5:BO1048576">
    <cfRule type="expression" dxfId="0" priority="38">
      <formula>MOD(ROW(),2)=0</formula>
    </cfRule>
  </conditionalFormatting>
  <conditionalFormatting sqref="BP5:BP1048576">
    <cfRule type="expression" dxfId="0" priority="37">
      <formula>MOD(ROW(),2)=0</formula>
    </cfRule>
  </conditionalFormatting>
  <conditionalFormatting sqref="BQ5:BQ1048576">
    <cfRule type="expression" dxfId="0" priority="36">
      <formula>MOD(ROW(),2)=0</formula>
    </cfRule>
  </conditionalFormatting>
  <conditionalFormatting sqref="BR5:BR1048576">
    <cfRule type="expression" dxfId="0" priority="35">
      <formula>MOD(ROW(),2)=0</formula>
    </cfRule>
  </conditionalFormatting>
  <conditionalFormatting sqref="BS5:BS1048576">
    <cfRule type="expression" dxfId="0" priority="34">
      <formula>MOD(ROW(),2)=0</formula>
    </cfRule>
  </conditionalFormatting>
  <conditionalFormatting sqref="BT5:BT1048576">
    <cfRule type="expression" dxfId="0" priority="33">
      <formula>MOD(ROW(),2)=0</formula>
    </cfRule>
  </conditionalFormatting>
  <conditionalFormatting sqref="BU5:BU1048576">
    <cfRule type="expression" dxfId="0" priority="32">
      <formula>MOD(ROW(),2)=0</formula>
    </cfRule>
  </conditionalFormatting>
  <conditionalFormatting sqref="BV5:BV1048576">
    <cfRule type="expression" dxfId="0" priority="31">
      <formula>MOD(ROW(),2)=0</formula>
    </cfRule>
  </conditionalFormatting>
  <conditionalFormatting sqref="BW5:BW1048576">
    <cfRule type="expression" dxfId="0" priority="30">
      <formula>MOD(ROW(),2)=0</formula>
    </cfRule>
  </conditionalFormatting>
  <conditionalFormatting sqref="BX5:BX1048576">
    <cfRule type="expression" dxfId="0" priority="29">
      <formula>MOD(ROW(),2)=0</formula>
    </cfRule>
  </conditionalFormatting>
  <conditionalFormatting sqref="BY5:BY1048576">
    <cfRule type="expression" dxfId="0" priority="28">
      <formula>MOD(ROW(),2)=0</formula>
    </cfRule>
  </conditionalFormatting>
  <conditionalFormatting sqref="BZ5:BZ1048576">
    <cfRule type="expression" dxfId="0" priority="27">
      <formula>MOD(ROW(),2)=0</formula>
    </cfRule>
  </conditionalFormatting>
  <conditionalFormatting sqref="CA5:CA1048576">
    <cfRule type="expression" dxfId="0" priority="26">
      <formula>MOD(ROW(),2)=0</formula>
    </cfRule>
  </conditionalFormatting>
  <conditionalFormatting sqref="CB5:CB1048576">
    <cfRule type="expression" dxfId="0" priority="25">
      <formula>MOD(ROW(),2)=0</formula>
    </cfRule>
  </conditionalFormatting>
  <conditionalFormatting sqref="CC5:CC1048576">
    <cfRule type="expression" dxfId="0" priority="24">
      <formula>MOD(ROW(),2)=0</formula>
    </cfRule>
  </conditionalFormatting>
  <conditionalFormatting sqref="CD5:CD1048576">
    <cfRule type="expression" dxfId="0" priority="23">
      <formula>MOD(ROW(),2)=0</formula>
    </cfRule>
  </conditionalFormatting>
  <conditionalFormatting sqref="CE5:CE1048576">
    <cfRule type="expression" dxfId="0" priority="22">
      <formula>MOD(ROW(),2)=0</formula>
    </cfRule>
  </conditionalFormatting>
  <conditionalFormatting sqref="CF5:CF1048576">
    <cfRule type="expression" dxfId="0" priority="21">
      <formula>MOD(ROW(),2)=0</formula>
    </cfRule>
  </conditionalFormatting>
  <conditionalFormatting sqref="CG5:CG1048576">
    <cfRule type="expression" dxfId="0" priority="20">
      <formula>MOD(ROW(),2)=0</formula>
    </cfRule>
  </conditionalFormatting>
  <conditionalFormatting sqref="CH5:CH1048576">
    <cfRule type="expression" dxfId="0" priority="19">
      <formula>MOD(ROW(),2)=0</formula>
    </cfRule>
  </conditionalFormatting>
  <conditionalFormatting sqref="CI5:CI1048576">
    <cfRule type="expression" dxfId="0" priority="18">
      <formula>MOD(ROW(),2)=0</formula>
    </cfRule>
  </conditionalFormatting>
  <conditionalFormatting sqref="CJ5:CJ1048576">
    <cfRule type="expression" dxfId="0" priority="17">
      <formula>MOD(ROW(),2)=0</formula>
    </cfRule>
  </conditionalFormatting>
  <conditionalFormatting sqref="CK5:CK1048576">
    <cfRule type="expression" dxfId="0" priority="16">
      <formula>MOD(ROW(),2)=0</formula>
    </cfRule>
  </conditionalFormatting>
  <conditionalFormatting sqref="CL5:CL1048576">
    <cfRule type="expression" dxfId="0" priority="15">
      <formula>MOD(ROW(),2)=0</formula>
    </cfRule>
  </conditionalFormatting>
  <conditionalFormatting sqref="CM5:CM1048576">
    <cfRule type="expression" dxfId="0" priority="14">
      <formula>MOD(ROW(),2)=0</formula>
    </cfRule>
  </conditionalFormatting>
  <conditionalFormatting sqref="CN5:CN1048576">
    <cfRule type="expression" dxfId="0" priority="13">
      <formula>MOD(ROW(),2)=0</formula>
    </cfRule>
  </conditionalFormatting>
  <conditionalFormatting sqref="CO5:CO1048576">
    <cfRule type="expression" dxfId="0" priority="12">
      <formula>MOD(ROW(),2)=0</formula>
    </cfRule>
  </conditionalFormatting>
  <conditionalFormatting sqref="CP5:CP1048576">
    <cfRule type="expression" dxfId="0" priority="11">
      <formula>MOD(ROW(),2)=0</formula>
    </cfRule>
  </conditionalFormatting>
  <conditionalFormatting sqref="CQ5:CQ1048576">
    <cfRule type="expression" dxfId="0" priority="10">
      <formula>MOD(ROW(),2)=0</formula>
    </cfRule>
  </conditionalFormatting>
  <conditionalFormatting sqref="CR5:CR1048576">
    <cfRule type="expression" dxfId="0" priority="9">
      <formula>MOD(ROW(),2)=0</formula>
    </cfRule>
  </conditionalFormatting>
  <conditionalFormatting sqref="CS5:CS1048576">
    <cfRule type="expression" dxfId="0" priority="8">
      <formula>MOD(ROW(),2)=0</formula>
    </cfRule>
  </conditionalFormatting>
  <conditionalFormatting sqref="CT5:CT1048576">
    <cfRule type="expression" dxfId="0" priority="7">
      <formula>MOD(ROW(),2)=0</formula>
    </cfRule>
  </conditionalFormatting>
  <conditionalFormatting sqref="CU5:CU1048576">
    <cfRule type="expression" dxfId="0" priority="6">
      <formula>MOD(ROW(),2)=0</formula>
    </cfRule>
  </conditionalFormatting>
  <conditionalFormatting sqref="CV5:CV1048576">
    <cfRule type="expression" dxfId="0" priority="5">
      <formula>MOD(ROW(),2)=0</formula>
    </cfRule>
  </conditionalFormatting>
  <conditionalFormatting sqref="CW5:CW1048576">
    <cfRule type="expression" dxfId="0" priority="4">
      <formula>MOD(ROW(),2)=0</formula>
    </cfRule>
  </conditionalFormatting>
  <conditionalFormatting sqref="CX5:CX1048576">
    <cfRule type="expression" dxfId="0" priority="3">
      <formula>MOD(ROW(),2)=0</formula>
    </cfRule>
  </conditionalFormatting>
  <conditionalFormatting sqref="CY5:CY1048576">
    <cfRule type="expression" dxfId="0" priority="2">
      <formula>MOD(ROW(),2)=0</formula>
    </cfRule>
  </conditionalFormatting>
  <conditionalFormatting sqref="CZ5:CZ1048576">
    <cfRule type="expression" dxfId="0" priority="1">
      <formula>MOD(ROW(),2)=0</formula>
    </cfRule>
  </conditionalFormatting>
  <conditionalFormatting sqref="C5:K1048576">
    <cfRule type="expression" dxfId="0" priority="94">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C1:CX5"/>
  <sheetViews>
    <sheetView showGridLines="0" zoomScale="70" zoomScaleNormal="70" workbookViewId="0">
      <selection activeCell="AF1" sqref="AF1"/>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200</v>
      </c>
    </row>
    <row r="4" ht="18" spans="3:102">
      <c r="C4" s="5" t="s">
        <v>85</v>
      </c>
      <c r="D4" s="5" t="s">
        <v>86</v>
      </c>
      <c r="E4" s="5" t="s">
        <v>87</v>
      </c>
      <c r="F4" s="5" t="s">
        <v>88</v>
      </c>
      <c r="G4" s="5" t="s">
        <v>89</v>
      </c>
      <c r="H4" s="5" t="s">
        <v>90</v>
      </c>
      <c r="I4" s="5" t="s">
        <v>91</v>
      </c>
      <c r="J4" s="5" t="s">
        <v>92</v>
      </c>
      <c r="K4" s="5" t="s">
        <v>93</v>
      </c>
      <c r="L4" s="5" t="s">
        <v>94</v>
      </c>
      <c r="M4" s="5" t="s">
        <v>95</v>
      </c>
      <c r="N4" s="5" t="s">
        <v>96</v>
      </c>
      <c r="O4" s="5" t="s">
        <v>97</v>
      </c>
      <c r="P4" s="5" t="s">
        <v>98</v>
      </c>
      <c r="Q4" s="5" t="s">
        <v>99</v>
      </c>
      <c r="R4" s="5" t="s">
        <v>100</v>
      </c>
      <c r="S4" s="5" t="s">
        <v>101</v>
      </c>
      <c r="T4" s="5" t="s">
        <v>102</v>
      </c>
      <c r="U4" s="5" t="s">
        <v>103</v>
      </c>
      <c r="V4" s="5" t="s">
        <v>104</v>
      </c>
      <c r="W4" s="5" t="s">
        <v>105</v>
      </c>
      <c r="X4" s="5" t="s">
        <v>106</v>
      </c>
      <c r="Y4" s="5" t="s">
        <v>107</v>
      </c>
      <c r="Z4" s="5" t="s">
        <v>108</v>
      </c>
      <c r="AA4" s="5" t="s">
        <v>109</v>
      </c>
      <c r="AB4" s="5" t="s">
        <v>110</v>
      </c>
      <c r="AC4" s="5" t="s">
        <v>111</v>
      </c>
      <c r="AD4" s="5" t="s">
        <v>112</v>
      </c>
      <c r="AE4" s="5" t="s">
        <v>113</v>
      </c>
      <c r="AF4" s="5" t="s">
        <v>114</v>
      </c>
      <c r="AG4" s="5" t="s">
        <v>115</v>
      </c>
      <c r="AH4" s="5" t="s">
        <v>116</v>
      </c>
      <c r="AI4" s="5" t="s">
        <v>117</v>
      </c>
      <c r="AJ4" s="5" t="s">
        <v>118</v>
      </c>
      <c r="AK4" s="5" t="s">
        <v>119</v>
      </c>
      <c r="AL4" s="5" t="s">
        <v>120</v>
      </c>
      <c r="AM4" s="5" t="s">
        <v>121</v>
      </c>
      <c r="AN4" s="5" t="s">
        <v>122</v>
      </c>
      <c r="AO4" s="5" t="s">
        <v>123</v>
      </c>
      <c r="AP4" s="5" t="s">
        <v>124</v>
      </c>
      <c r="AQ4" s="5" t="s">
        <v>125</v>
      </c>
      <c r="AR4" s="5" t="s">
        <v>126</v>
      </c>
      <c r="AS4" s="5" t="s">
        <v>127</v>
      </c>
      <c r="AT4" s="5" t="s">
        <v>128</v>
      </c>
      <c r="AU4" s="5" t="s">
        <v>129</v>
      </c>
      <c r="AV4" s="5" t="s">
        <v>130</v>
      </c>
      <c r="AW4" s="5" t="s">
        <v>131</v>
      </c>
      <c r="AX4" s="5" t="s">
        <v>132</v>
      </c>
      <c r="AY4" s="5" t="s">
        <v>133</v>
      </c>
      <c r="AZ4" s="5" t="s">
        <v>134</v>
      </c>
      <c r="BA4" s="5" t="s">
        <v>135</v>
      </c>
      <c r="BB4" s="5" t="s">
        <v>136</v>
      </c>
      <c r="BC4" s="5" t="s">
        <v>137</v>
      </c>
      <c r="BD4" s="5" t="s">
        <v>138</v>
      </c>
      <c r="BE4" s="5" t="s">
        <v>139</v>
      </c>
      <c r="BF4" s="5" t="s">
        <v>140</v>
      </c>
      <c r="BG4" s="5" t="s">
        <v>141</v>
      </c>
      <c r="BH4" s="5" t="s">
        <v>142</v>
      </c>
      <c r="BI4" s="5" t="s">
        <v>143</v>
      </c>
      <c r="BJ4" s="5" t="s">
        <v>144</v>
      </c>
      <c r="BK4" s="5" t="s">
        <v>145</v>
      </c>
      <c r="BL4" s="5" t="s">
        <v>146</v>
      </c>
      <c r="BM4" s="5" t="s">
        <v>147</v>
      </c>
      <c r="BN4" s="5" t="s">
        <v>147</v>
      </c>
      <c r="BO4" s="5" t="s">
        <v>148</v>
      </c>
      <c r="BP4" s="5" t="s">
        <v>149</v>
      </c>
      <c r="BQ4" s="5" t="s">
        <v>150</v>
      </c>
      <c r="BR4" s="5" t="s">
        <v>151</v>
      </c>
      <c r="BS4" s="5" t="s">
        <v>152</v>
      </c>
      <c r="BT4" s="5" t="s">
        <v>153</v>
      </c>
      <c r="BU4" s="5" t="s">
        <v>154</v>
      </c>
      <c r="BV4" s="5" t="s">
        <v>155</v>
      </c>
      <c r="BW4" s="5" t="s">
        <v>156</v>
      </c>
      <c r="BX4" s="5" t="s">
        <v>157</v>
      </c>
      <c r="BY4" s="5" t="s">
        <v>158</v>
      </c>
      <c r="BZ4" s="5" t="s">
        <v>159</v>
      </c>
      <c r="CA4" s="5" t="s">
        <v>160</v>
      </c>
      <c r="CB4" s="5" t="s">
        <v>161</v>
      </c>
      <c r="CC4" s="5" t="s">
        <v>162</v>
      </c>
      <c r="CD4" s="5" t="s">
        <v>163</v>
      </c>
      <c r="CE4" s="5" t="s">
        <v>164</v>
      </c>
      <c r="CF4" s="5" t="s">
        <v>165</v>
      </c>
      <c r="CG4" s="5" t="s">
        <v>166</v>
      </c>
      <c r="CH4" s="5" t="s">
        <v>167</v>
      </c>
      <c r="CI4" s="5" t="s">
        <v>168</v>
      </c>
      <c r="CJ4" s="5" t="s">
        <v>169</v>
      </c>
      <c r="CK4" s="5" t="s">
        <v>170</v>
      </c>
      <c r="CL4" s="5" t="s">
        <v>171</v>
      </c>
      <c r="CM4" s="5" t="s">
        <v>172</v>
      </c>
      <c r="CN4" s="5" t="s">
        <v>173</v>
      </c>
      <c r="CO4" s="5" t="s">
        <v>174</v>
      </c>
      <c r="CP4" s="5" t="s">
        <v>175</v>
      </c>
      <c r="CQ4" s="5" t="s">
        <v>176</v>
      </c>
      <c r="CR4" s="5" t="s">
        <v>177</v>
      </c>
      <c r="CS4" s="5" t="s">
        <v>178</v>
      </c>
      <c r="CT4" s="5" t="s">
        <v>179</v>
      </c>
      <c r="CU4" s="5" t="s">
        <v>180</v>
      </c>
      <c r="CV4" s="5" t="s">
        <v>181</v>
      </c>
      <c r="CW4" s="5" t="s">
        <v>182</v>
      </c>
      <c r="CX4" s="5" t="s">
        <v>183</v>
      </c>
    </row>
    <row r="5" spans="3:102">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v>2</v>
      </c>
      <c r="CD5" s="8">
        <v>0</v>
      </c>
      <c r="CE5" s="8">
        <v>0</v>
      </c>
      <c r="CF5" s="8">
        <v>0</v>
      </c>
      <c r="CG5" s="8">
        <v>0</v>
      </c>
      <c r="CH5" s="8">
        <v>0</v>
      </c>
      <c r="CI5" s="8">
        <v>0</v>
      </c>
      <c r="CJ5" s="8">
        <v>0</v>
      </c>
      <c r="CK5" s="8">
        <v>0</v>
      </c>
      <c r="CL5" s="8">
        <v>0</v>
      </c>
      <c r="CM5" s="8">
        <v>0</v>
      </c>
      <c r="CN5" s="8">
        <v>0</v>
      </c>
      <c r="CO5" s="8">
        <v>0</v>
      </c>
      <c r="CP5" s="8">
        <v>0</v>
      </c>
      <c r="CQ5" s="8">
        <v>0</v>
      </c>
      <c r="CR5" s="8">
        <v>0</v>
      </c>
      <c r="CS5" s="8">
        <v>0</v>
      </c>
      <c r="CT5" s="8">
        <v>0</v>
      </c>
      <c r="CU5" s="8">
        <v>0</v>
      </c>
      <c r="CV5" s="8">
        <v>0</v>
      </c>
      <c r="CW5" s="8">
        <v>0</v>
      </c>
      <c r="CX5" s="8">
        <v>1</v>
      </c>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C1:CX5"/>
  <sheetViews>
    <sheetView showGridLines="0" workbookViewId="0">
      <selection activeCell="R1" sqref="R1"/>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201</v>
      </c>
    </row>
    <row r="4" s="7" customFormat="1" ht="18" spans="3:102">
      <c r="C4" s="5" t="s">
        <v>85</v>
      </c>
      <c r="D4" s="5" t="s">
        <v>86</v>
      </c>
      <c r="E4" s="5" t="s">
        <v>87</v>
      </c>
      <c r="F4" s="5" t="s">
        <v>88</v>
      </c>
      <c r="G4" s="5" t="s">
        <v>89</v>
      </c>
      <c r="H4" s="5" t="s">
        <v>90</v>
      </c>
      <c r="I4" s="5" t="s">
        <v>91</v>
      </c>
      <c r="J4" s="5" t="s">
        <v>92</v>
      </c>
      <c r="K4" s="5" t="s">
        <v>93</v>
      </c>
      <c r="L4" s="5" t="s">
        <v>94</v>
      </c>
      <c r="M4" s="5" t="s">
        <v>95</v>
      </c>
      <c r="N4" s="5" t="s">
        <v>96</v>
      </c>
      <c r="O4" s="5" t="s">
        <v>97</v>
      </c>
      <c r="P4" s="5" t="s">
        <v>98</v>
      </c>
      <c r="Q4" s="5" t="s">
        <v>99</v>
      </c>
      <c r="R4" s="5" t="s">
        <v>100</v>
      </c>
      <c r="S4" s="5" t="s">
        <v>101</v>
      </c>
      <c r="T4" s="5" t="s">
        <v>102</v>
      </c>
      <c r="U4" s="5" t="s">
        <v>103</v>
      </c>
      <c r="V4" s="5" t="s">
        <v>104</v>
      </c>
      <c r="W4" s="5" t="s">
        <v>105</v>
      </c>
      <c r="X4" s="5" t="s">
        <v>106</v>
      </c>
      <c r="Y4" s="5" t="s">
        <v>107</v>
      </c>
      <c r="Z4" s="5" t="s">
        <v>108</v>
      </c>
      <c r="AA4" s="5" t="s">
        <v>109</v>
      </c>
      <c r="AB4" s="5" t="s">
        <v>110</v>
      </c>
      <c r="AC4" s="5" t="s">
        <v>111</v>
      </c>
      <c r="AD4" s="5" t="s">
        <v>112</v>
      </c>
      <c r="AE4" s="5" t="s">
        <v>113</v>
      </c>
      <c r="AF4" s="5" t="s">
        <v>114</v>
      </c>
      <c r="AG4" s="5" t="s">
        <v>115</v>
      </c>
      <c r="AH4" s="5" t="s">
        <v>116</v>
      </c>
      <c r="AI4" s="5" t="s">
        <v>117</v>
      </c>
      <c r="AJ4" s="5" t="s">
        <v>118</v>
      </c>
      <c r="AK4" s="5" t="s">
        <v>119</v>
      </c>
      <c r="AL4" s="5" t="s">
        <v>120</v>
      </c>
      <c r="AM4" s="5" t="s">
        <v>121</v>
      </c>
      <c r="AN4" s="5" t="s">
        <v>122</v>
      </c>
      <c r="AO4" s="5" t="s">
        <v>123</v>
      </c>
      <c r="AP4" s="5" t="s">
        <v>124</v>
      </c>
      <c r="AQ4" s="5" t="s">
        <v>125</v>
      </c>
      <c r="AR4" s="5" t="s">
        <v>126</v>
      </c>
      <c r="AS4" s="5" t="s">
        <v>127</v>
      </c>
      <c r="AT4" s="5" t="s">
        <v>128</v>
      </c>
      <c r="AU4" s="5" t="s">
        <v>129</v>
      </c>
      <c r="AV4" s="5" t="s">
        <v>130</v>
      </c>
      <c r="AW4" s="5" t="s">
        <v>131</v>
      </c>
      <c r="AX4" s="5" t="s">
        <v>132</v>
      </c>
      <c r="AY4" s="5" t="s">
        <v>133</v>
      </c>
      <c r="AZ4" s="5" t="s">
        <v>134</v>
      </c>
      <c r="BA4" s="5" t="s">
        <v>135</v>
      </c>
      <c r="BB4" s="5" t="s">
        <v>136</v>
      </c>
      <c r="BC4" s="5" t="s">
        <v>137</v>
      </c>
      <c r="BD4" s="5" t="s">
        <v>138</v>
      </c>
      <c r="BE4" s="5" t="s">
        <v>139</v>
      </c>
      <c r="BF4" s="5" t="s">
        <v>140</v>
      </c>
      <c r="BG4" s="5" t="s">
        <v>141</v>
      </c>
      <c r="BH4" s="5" t="s">
        <v>142</v>
      </c>
      <c r="BI4" s="5" t="s">
        <v>143</v>
      </c>
      <c r="BJ4" s="5" t="s">
        <v>144</v>
      </c>
      <c r="BK4" s="5" t="s">
        <v>145</v>
      </c>
      <c r="BL4" s="5" t="s">
        <v>146</v>
      </c>
      <c r="BM4" s="5" t="s">
        <v>147</v>
      </c>
      <c r="BN4" s="5" t="s">
        <v>147</v>
      </c>
      <c r="BO4" s="5" t="s">
        <v>148</v>
      </c>
      <c r="BP4" s="5" t="s">
        <v>149</v>
      </c>
      <c r="BQ4" s="5" t="s">
        <v>150</v>
      </c>
      <c r="BR4" s="5" t="s">
        <v>151</v>
      </c>
      <c r="BS4" s="5" t="s">
        <v>152</v>
      </c>
      <c r="BT4" s="5" t="s">
        <v>153</v>
      </c>
      <c r="BU4" s="5" t="s">
        <v>154</v>
      </c>
      <c r="BV4" s="5" t="s">
        <v>155</v>
      </c>
      <c r="BW4" s="5" t="s">
        <v>156</v>
      </c>
      <c r="BX4" s="5" t="s">
        <v>157</v>
      </c>
      <c r="BY4" s="5" t="s">
        <v>158</v>
      </c>
      <c r="BZ4" s="5" t="s">
        <v>159</v>
      </c>
      <c r="CA4" s="5" t="s">
        <v>160</v>
      </c>
      <c r="CB4" s="5" t="s">
        <v>161</v>
      </c>
      <c r="CC4" s="5" t="s">
        <v>162</v>
      </c>
      <c r="CD4" s="5" t="s">
        <v>163</v>
      </c>
      <c r="CE4" s="5" t="s">
        <v>164</v>
      </c>
      <c r="CF4" s="5" t="s">
        <v>165</v>
      </c>
      <c r="CG4" s="5" t="s">
        <v>166</v>
      </c>
      <c r="CH4" s="5" t="s">
        <v>167</v>
      </c>
      <c r="CI4" s="5" t="s">
        <v>168</v>
      </c>
      <c r="CJ4" s="5" t="s">
        <v>169</v>
      </c>
      <c r="CK4" s="5" t="s">
        <v>170</v>
      </c>
      <c r="CL4" s="5" t="s">
        <v>171</v>
      </c>
      <c r="CM4" s="5" t="s">
        <v>172</v>
      </c>
      <c r="CN4" s="5" t="s">
        <v>173</v>
      </c>
      <c r="CO4" s="5" t="s">
        <v>174</v>
      </c>
      <c r="CP4" s="5" t="s">
        <v>175</v>
      </c>
      <c r="CQ4" s="5" t="s">
        <v>176</v>
      </c>
      <c r="CR4" s="5" t="s">
        <v>177</v>
      </c>
      <c r="CS4" s="5" t="s">
        <v>178</v>
      </c>
      <c r="CT4" s="5" t="s">
        <v>179</v>
      </c>
      <c r="CU4" s="5" t="s">
        <v>180</v>
      </c>
      <c r="CV4" s="5" t="s">
        <v>181</v>
      </c>
      <c r="CW4" s="5" t="s">
        <v>182</v>
      </c>
      <c r="CX4" s="5" t="s">
        <v>183</v>
      </c>
    </row>
    <row r="5" s="7" customFormat="1" spans="3:102">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c r="CK5" s="8"/>
      <c r="CL5" s="8"/>
      <c r="CM5" s="8"/>
      <c r="CN5" s="8"/>
      <c r="CO5" s="8"/>
      <c r="CP5" s="8"/>
      <c r="CQ5" s="8"/>
      <c r="CR5" s="8"/>
      <c r="CS5" s="8"/>
      <c r="CT5" s="8"/>
      <c r="CU5" s="8"/>
      <c r="CV5" s="8"/>
      <c r="CW5" s="8"/>
      <c r="CX5" s="8"/>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E8"/>
  <sheetViews>
    <sheetView showGridLines="0" workbookViewId="0">
      <selection activeCell="E11" sqref="E11"/>
    </sheetView>
  </sheetViews>
  <sheetFormatPr defaultColWidth="9" defaultRowHeight="20" customHeight="1" outlineLevelRow="7" outlineLevelCol="4"/>
  <cols>
    <col min="1" max="1" width="3.625" style="2" customWidth="1"/>
    <col min="2" max="2" width="3.625" style="2" hidden="1" customWidth="1"/>
    <col min="3" max="3" width="6.125" style="3" customWidth="1"/>
    <col min="4" max="5" width="26.875" style="3" customWidth="1"/>
    <col min="6" max="16384" width="9" style="2"/>
  </cols>
  <sheetData>
    <row r="1" s="1" customFormat="1" ht="50" customHeight="1"/>
    <row r="2" s="1" customFormat="1" ht="40" hidden="1" customHeight="1"/>
    <row r="3" s="1" customFormat="1" ht="40" customHeight="1" spans="3:3">
      <c r="C3" s="4" t="s">
        <v>202</v>
      </c>
    </row>
    <row r="4" s="1" customFormat="1" ht="30" customHeight="1" spans="3:5">
      <c r="C4" s="5" t="s">
        <v>41</v>
      </c>
      <c r="D4" s="5" t="s">
        <v>203</v>
      </c>
      <c r="E4" s="5" t="s">
        <v>204</v>
      </c>
    </row>
    <row r="5" s="2" customFormat="1" customHeight="1" spans="2:5">
      <c r="B5" s="2">
        <v>6</v>
      </c>
      <c r="C5" s="3">
        <v>1</v>
      </c>
      <c r="D5" s="3" t="s">
        <v>85</v>
      </c>
      <c r="E5" s="3" t="s">
        <v>205</v>
      </c>
    </row>
    <row r="6" s="2" customFormat="1" customHeight="1" spans="2:5">
      <c r="B6" s="2">
        <v>7</v>
      </c>
      <c r="C6" s="3">
        <v>2</v>
      </c>
      <c r="D6" s="3" t="s">
        <v>86</v>
      </c>
      <c r="E6" s="3" t="s">
        <v>206</v>
      </c>
    </row>
    <row r="7" s="2" customFormat="1" customHeight="1" spans="2:5">
      <c r="B7" s="2">
        <v>8</v>
      </c>
      <c r="C7" s="3">
        <v>3</v>
      </c>
      <c r="D7" s="3" t="s">
        <v>87</v>
      </c>
      <c r="E7" s="3" t="s">
        <v>207</v>
      </c>
    </row>
    <row r="8" s="2" customFormat="1" customHeight="1" spans="2:5">
      <c r="B8" s="2">
        <v>26</v>
      </c>
      <c r="C8" s="3">
        <v>4</v>
      </c>
      <c r="D8" s="3" t="s">
        <v>88</v>
      </c>
      <c r="E8" s="3" t="s">
        <v>208</v>
      </c>
    </row>
  </sheetData>
  <conditionalFormatting sqref="C5:E1048576">
    <cfRule type="expression" dxfId="0" priority="1">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DB97"/>
  <sheetViews>
    <sheetView showGridLines="0" workbookViewId="0">
      <pane ySplit="4" topLeftCell="A5" activePane="bottomLeft" state="frozen"/>
      <selection/>
      <selection pane="bottomLeft" activeCell="P14" sqref="P14"/>
    </sheetView>
  </sheetViews>
  <sheetFormatPr defaultColWidth="9" defaultRowHeight="20" customHeight="1"/>
  <cols>
    <col min="1" max="1" width="3.625" style="2" customWidth="1"/>
    <col min="2" max="2" width="3.625" style="2" hidden="1" customWidth="1"/>
    <col min="3" max="3" width="6.125" style="3" customWidth="1"/>
    <col min="4" max="6" width="14.5" style="3" customWidth="1"/>
    <col min="7" max="106" width="13.375" style="3" customWidth="1"/>
    <col min="107" max="16384" width="9" style="2"/>
  </cols>
  <sheetData>
    <row r="1" s="1" customFormat="1" ht="50" customHeight="1"/>
    <row r="2" s="1" customFormat="1" ht="40" hidden="1" customHeight="1"/>
    <row r="3" s="1" customFormat="1" ht="40" customHeight="1" spans="3:3">
      <c r="C3" s="4" t="s">
        <v>209</v>
      </c>
    </row>
    <row r="4" s="1" customFormat="1" ht="30" customHeight="1" spans="3:106">
      <c r="C4" s="5" t="s">
        <v>41</v>
      </c>
      <c r="D4" s="5" t="s">
        <v>210</v>
      </c>
      <c r="E4" s="5" t="s">
        <v>211</v>
      </c>
      <c r="F4" s="5" t="s">
        <v>212</v>
      </c>
      <c r="G4" s="5" t="s">
        <v>85</v>
      </c>
      <c r="H4" s="5" t="s">
        <v>86</v>
      </c>
      <c r="I4" s="5" t="s">
        <v>87</v>
      </c>
      <c r="J4" s="5" t="s">
        <v>88</v>
      </c>
      <c r="K4" s="5" t="s">
        <v>89</v>
      </c>
      <c r="L4" s="5" t="s">
        <v>90</v>
      </c>
      <c r="M4" s="5" t="s">
        <v>91</v>
      </c>
      <c r="N4" s="5" t="s">
        <v>92</v>
      </c>
      <c r="O4" s="5" t="s">
        <v>93</v>
      </c>
      <c r="P4" s="5" t="s">
        <v>94</v>
      </c>
      <c r="Q4" s="5" t="s">
        <v>95</v>
      </c>
      <c r="R4" s="5" t="s">
        <v>96</v>
      </c>
      <c r="S4" s="5" t="s">
        <v>97</v>
      </c>
      <c r="T4" s="5" t="s">
        <v>98</v>
      </c>
      <c r="U4" s="5" t="s">
        <v>99</v>
      </c>
      <c r="V4" s="5" t="s">
        <v>100</v>
      </c>
      <c r="W4" s="5" t="s">
        <v>101</v>
      </c>
      <c r="X4" s="5" t="s">
        <v>102</v>
      </c>
      <c r="Y4" s="5" t="s">
        <v>103</v>
      </c>
      <c r="Z4" s="5" t="s">
        <v>104</v>
      </c>
      <c r="AA4" s="5" t="s">
        <v>105</v>
      </c>
      <c r="AB4" s="5" t="s">
        <v>106</v>
      </c>
      <c r="AC4" s="5" t="s">
        <v>107</v>
      </c>
      <c r="AD4" s="5" t="s">
        <v>108</v>
      </c>
      <c r="AE4" s="5" t="s">
        <v>109</v>
      </c>
      <c r="AF4" s="5" t="s">
        <v>110</v>
      </c>
      <c r="AG4" s="5" t="s">
        <v>111</v>
      </c>
      <c r="AH4" s="5" t="s">
        <v>112</v>
      </c>
      <c r="AI4" s="5" t="s">
        <v>113</v>
      </c>
      <c r="AJ4" s="5" t="s">
        <v>114</v>
      </c>
      <c r="AK4" s="5" t="s">
        <v>115</v>
      </c>
      <c r="AL4" s="5" t="s">
        <v>116</v>
      </c>
      <c r="AM4" s="5" t="s">
        <v>117</v>
      </c>
      <c r="AN4" s="5" t="s">
        <v>118</v>
      </c>
      <c r="AO4" s="5" t="s">
        <v>119</v>
      </c>
      <c r="AP4" s="5" t="s">
        <v>120</v>
      </c>
      <c r="AQ4" s="5" t="s">
        <v>121</v>
      </c>
      <c r="AR4" s="5" t="s">
        <v>122</v>
      </c>
      <c r="AS4" s="5" t="s">
        <v>123</v>
      </c>
      <c r="AT4" s="5" t="s">
        <v>124</v>
      </c>
      <c r="AU4" s="5" t="s">
        <v>125</v>
      </c>
      <c r="AV4" s="5" t="s">
        <v>126</v>
      </c>
      <c r="AW4" s="5" t="s">
        <v>127</v>
      </c>
      <c r="AX4" s="5" t="s">
        <v>128</v>
      </c>
      <c r="AY4" s="5" t="s">
        <v>129</v>
      </c>
      <c r="AZ4" s="5" t="s">
        <v>130</v>
      </c>
      <c r="BA4" s="5" t="s">
        <v>131</v>
      </c>
      <c r="BB4" s="5" t="s">
        <v>132</v>
      </c>
      <c r="BC4" s="5" t="s">
        <v>133</v>
      </c>
      <c r="BD4" s="5" t="s">
        <v>134</v>
      </c>
      <c r="BE4" s="5" t="s">
        <v>135</v>
      </c>
      <c r="BF4" s="5" t="s">
        <v>136</v>
      </c>
      <c r="BG4" s="5" t="s">
        <v>137</v>
      </c>
      <c r="BH4" s="5" t="s">
        <v>138</v>
      </c>
      <c r="BI4" s="5" t="s">
        <v>139</v>
      </c>
      <c r="BJ4" s="5" t="s">
        <v>140</v>
      </c>
      <c r="BK4" s="5" t="s">
        <v>141</v>
      </c>
      <c r="BL4" s="5" t="s">
        <v>142</v>
      </c>
      <c r="BM4" s="5" t="s">
        <v>143</v>
      </c>
      <c r="BN4" s="5" t="s">
        <v>144</v>
      </c>
      <c r="BO4" s="5" t="s">
        <v>145</v>
      </c>
      <c r="BP4" s="5" t="s">
        <v>146</v>
      </c>
      <c r="BQ4" s="5" t="s">
        <v>147</v>
      </c>
      <c r="BR4" s="5" t="s">
        <v>147</v>
      </c>
      <c r="BS4" s="5" t="s">
        <v>148</v>
      </c>
      <c r="BT4" s="5" t="s">
        <v>149</v>
      </c>
      <c r="BU4" s="5" t="s">
        <v>150</v>
      </c>
      <c r="BV4" s="5" t="s">
        <v>151</v>
      </c>
      <c r="BW4" s="5" t="s">
        <v>152</v>
      </c>
      <c r="BX4" s="5" t="s">
        <v>153</v>
      </c>
      <c r="BY4" s="5" t="s">
        <v>154</v>
      </c>
      <c r="BZ4" s="5" t="s">
        <v>155</v>
      </c>
      <c r="CA4" s="5" t="s">
        <v>156</v>
      </c>
      <c r="CB4" s="5" t="s">
        <v>157</v>
      </c>
      <c r="CC4" s="5" t="s">
        <v>158</v>
      </c>
      <c r="CD4" s="5" t="s">
        <v>159</v>
      </c>
      <c r="CE4" s="5" t="s">
        <v>160</v>
      </c>
      <c r="CF4" s="5" t="s">
        <v>161</v>
      </c>
      <c r="CG4" s="5" t="s">
        <v>162</v>
      </c>
      <c r="CH4" s="5" t="s">
        <v>163</v>
      </c>
      <c r="CI4" s="5" t="s">
        <v>164</v>
      </c>
      <c r="CJ4" s="5" t="s">
        <v>165</v>
      </c>
      <c r="CK4" s="5" t="s">
        <v>166</v>
      </c>
      <c r="CL4" s="5" t="s">
        <v>167</v>
      </c>
      <c r="CM4" s="5" t="s">
        <v>168</v>
      </c>
      <c r="CN4" s="5" t="s">
        <v>169</v>
      </c>
      <c r="CO4" s="5" t="s">
        <v>170</v>
      </c>
      <c r="CP4" s="5" t="s">
        <v>171</v>
      </c>
      <c r="CQ4" s="5" t="s">
        <v>172</v>
      </c>
      <c r="CR4" s="5" t="s">
        <v>173</v>
      </c>
      <c r="CS4" s="5" t="s">
        <v>174</v>
      </c>
      <c r="CT4" s="5" t="s">
        <v>175</v>
      </c>
      <c r="CU4" s="5" t="s">
        <v>176</v>
      </c>
      <c r="CV4" s="5" t="s">
        <v>177</v>
      </c>
      <c r="CW4" s="5" t="s">
        <v>178</v>
      </c>
      <c r="CX4" s="5" t="s">
        <v>179</v>
      </c>
      <c r="CY4" s="5" t="s">
        <v>180</v>
      </c>
      <c r="CZ4" s="5" t="s">
        <v>181</v>
      </c>
      <c r="DA4" s="5" t="s">
        <v>182</v>
      </c>
      <c r="DB4" s="5" t="s">
        <v>183</v>
      </c>
    </row>
    <row r="5" s="2" customFormat="1" customHeight="1" spans="2:106">
      <c r="B5" s="2">
        <v>2946</v>
      </c>
      <c r="C5" s="3">
        <v>74</v>
      </c>
      <c r="D5" s="3" t="s">
        <v>27</v>
      </c>
      <c r="E5" s="6">
        <v>45044</v>
      </c>
      <c r="F5" s="6">
        <v>45148</v>
      </c>
      <c r="G5" s="3">
        <f ca="1" t="shared" ref="G5:G68" si="0">G5*I5</f>
        <v>0</v>
      </c>
      <c r="H5" s="3">
        <f t="shared" ref="H5:H14" si="1">I5*J5</f>
        <v>0</v>
      </c>
      <c r="I5" s="3"/>
      <c r="J5" s="3">
        <f t="shared" ref="J5:J33" si="2">P5*7</f>
        <v>0</v>
      </c>
      <c r="K5" s="3" t="s">
        <v>213</v>
      </c>
      <c r="L5" s="3" t="s">
        <v>188</v>
      </c>
      <c r="M5" s="3" t="s">
        <v>214</v>
      </c>
      <c r="N5" s="3" t="s">
        <v>215</v>
      </c>
      <c r="O5" s="3" t="s">
        <v>216</v>
      </c>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row>
    <row r="6" s="2" customFormat="1" customHeight="1" spans="2:106">
      <c r="B6" s="2">
        <v>2936</v>
      </c>
      <c r="C6" s="3">
        <v>67</v>
      </c>
      <c r="D6" s="3" t="s">
        <v>27</v>
      </c>
      <c r="E6" s="6">
        <v>45023</v>
      </c>
      <c r="F6" s="6">
        <v>45093</v>
      </c>
      <c r="G6" s="3">
        <f ca="1" t="shared" si="0"/>
        <v>0</v>
      </c>
      <c r="H6" s="3">
        <f t="shared" si="1"/>
        <v>0</v>
      </c>
      <c r="I6" s="3">
        <f t="shared" ref="I6:I18" si="3">K6*3</f>
        <v>0</v>
      </c>
      <c r="J6" s="3">
        <f t="shared" si="2"/>
        <v>0</v>
      </c>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row>
    <row r="7" s="2" customFormat="1" customHeight="1" spans="2:106">
      <c r="B7" s="2">
        <v>2937</v>
      </c>
      <c r="C7" s="3">
        <v>68</v>
      </c>
      <c r="D7" s="3" t="s">
        <v>27</v>
      </c>
      <c r="E7" s="6">
        <v>45023</v>
      </c>
      <c r="F7" s="6">
        <v>45023</v>
      </c>
      <c r="G7" s="3">
        <f ca="1" t="shared" si="0"/>
        <v>0</v>
      </c>
      <c r="H7" s="3">
        <f t="shared" si="1"/>
        <v>0</v>
      </c>
      <c r="I7" s="3">
        <f t="shared" si="3"/>
        <v>0</v>
      </c>
      <c r="J7" s="3">
        <f t="shared" si="2"/>
        <v>0</v>
      </c>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row>
    <row r="8" s="2" customFormat="1" customHeight="1" spans="2:106">
      <c r="B8" s="2">
        <v>2938</v>
      </c>
      <c r="C8" s="3">
        <v>69</v>
      </c>
      <c r="D8" s="3" t="s">
        <v>27</v>
      </c>
      <c r="E8" s="6">
        <v>45023</v>
      </c>
      <c r="F8" s="6">
        <v>45023</v>
      </c>
      <c r="G8" s="3">
        <f ca="1" t="shared" si="0"/>
        <v>0</v>
      </c>
      <c r="H8" s="3">
        <f t="shared" si="1"/>
        <v>0</v>
      </c>
      <c r="I8" s="3">
        <f t="shared" si="3"/>
        <v>0</v>
      </c>
      <c r="J8" s="3">
        <f t="shared" si="2"/>
        <v>0</v>
      </c>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row>
    <row r="9" s="2" customFormat="1" customHeight="1" spans="2:106">
      <c r="B9" s="2">
        <v>2939</v>
      </c>
      <c r="C9" s="3">
        <v>70</v>
      </c>
      <c r="D9" s="3" t="s">
        <v>27</v>
      </c>
      <c r="E9" s="6">
        <v>45023</v>
      </c>
      <c r="F9" s="6">
        <v>45023</v>
      </c>
      <c r="G9" s="3">
        <f ca="1" t="shared" si="0"/>
        <v>0</v>
      </c>
      <c r="H9" s="3">
        <f t="shared" si="1"/>
        <v>0</v>
      </c>
      <c r="I9" s="3">
        <f t="shared" si="3"/>
        <v>0</v>
      </c>
      <c r="J9" s="3">
        <f t="shared" si="2"/>
        <v>0</v>
      </c>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row>
    <row r="10" s="2" customFormat="1" customHeight="1" spans="2:106">
      <c r="B10" s="2">
        <v>2940</v>
      </c>
      <c r="C10" s="3">
        <v>71</v>
      </c>
      <c r="D10" s="3" t="s">
        <v>27</v>
      </c>
      <c r="E10" s="6">
        <v>45023</v>
      </c>
      <c r="F10" s="6">
        <v>45023</v>
      </c>
      <c r="G10" s="3">
        <f ca="1" t="shared" si="0"/>
        <v>0</v>
      </c>
      <c r="H10" s="3">
        <f t="shared" si="1"/>
        <v>0</v>
      </c>
      <c r="I10" s="3">
        <f t="shared" si="3"/>
        <v>0</v>
      </c>
      <c r="J10" s="3">
        <f t="shared" si="2"/>
        <v>0</v>
      </c>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row>
    <row r="11" s="2" customFormat="1" customHeight="1" spans="2:106">
      <c r="B11" s="2">
        <v>2941</v>
      </c>
      <c r="C11" s="3">
        <v>72</v>
      </c>
      <c r="D11" s="3" t="s">
        <v>27</v>
      </c>
      <c r="E11" s="6">
        <v>45023</v>
      </c>
      <c r="F11" s="6">
        <v>45086</v>
      </c>
      <c r="G11" s="3">
        <f ca="1" t="shared" si="0"/>
        <v>0</v>
      </c>
      <c r="H11" s="3">
        <f t="shared" si="1"/>
        <v>0</v>
      </c>
      <c r="I11" s="3">
        <f t="shared" si="3"/>
        <v>0</v>
      </c>
      <c r="J11" s="3">
        <f t="shared" si="2"/>
        <v>0</v>
      </c>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row>
    <row r="12" s="2" customFormat="1" customHeight="1" spans="2:106">
      <c r="B12" s="2">
        <v>2942</v>
      </c>
      <c r="C12" s="3">
        <v>73</v>
      </c>
      <c r="D12" s="3" t="s">
        <v>27</v>
      </c>
      <c r="E12" s="6">
        <v>45023</v>
      </c>
      <c r="F12" s="6">
        <v>45086</v>
      </c>
      <c r="G12" s="3">
        <f ca="1" t="shared" si="0"/>
        <v>0</v>
      </c>
      <c r="H12" s="3">
        <f t="shared" si="1"/>
        <v>0</v>
      </c>
      <c r="I12" s="3">
        <f t="shared" si="3"/>
        <v>0</v>
      </c>
      <c r="J12" s="3">
        <f t="shared" si="2"/>
        <v>0</v>
      </c>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row>
    <row r="13" customHeight="1" spans="2:10">
      <c r="B13" s="2">
        <v>2934</v>
      </c>
      <c r="C13" s="3">
        <v>66</v>
      </c>
      <c r="D13" s="3" t="s">
        <v>27</v>
      </c>
      <c r="E13" s="6">
        <v>45008</v>
      </c>
      <c r="F13" s="6">
        <v>45086</v>
      </c>
      <c r="G13" s="3">
        <f ca="1" t="shared" si="0"/>
        <v>0</v>
      </c>
      <c r="H13" s="3">
        <f t="shared" si="1"/>
        <v>0</v>
      </c>
      <c r="I13" s="3">
        <f t="shared" si="3"/>
        <v>0</v>
      </c>
      <c r="J13" s="3">
        <f t="shared" si="2"/>
        <v>0</v>
      </c>
    </row>
    <row r="14" customHeight="1" spans="2:10">
      <c r="B14" s="2">
        <v>2933</v>
      </c>
      <c r="C14" s="3">
        <v>65</v>
      </c>
      <c r="D14" s="3" t="s">
        <v>27</v>
      </c>
      <c r="E14" s="6">
        <v>45005</v>
      </c>
      <c r="F14" s="6">
        <v>45086</v>
      </c>
      <c r="G14" s="3">
        <f ca="1" t="shared" si="0"/>
        <v>0</v>
      </c>
      <c r="H14" s="3">
        <f t="shared" si="1"/>
        <v>0</v>
      </c>
      <c r="I14" s="3">
        <f t="shared" si="3"/>
        <v>0</v>
      </c>
      <c r="J14" s="3">
        <f t="shared" si="2"/>
        <v>0</v>
      </c>
    </row>
    <row r="15" customHeight="1" spans="2:68">
      <c r="B15" s="2">
        <v>2604</v>
      </c>
      <c r="C15" s="3">
        <v>1</v>
      </c>
      <c r="D15" s="3" t="s">
        <v>27</v>
      </c>
      <c r="E15" s="6">
        <v>44659</v>
      </c>
      <c r="F15" s="6">
        <v>45086</v>
      </c>
      <c r="G15" s="3">
        <f ca="1" t="shared" si="0"/>
        <v>0</v>
      </c>
      <c r="I15" s="3">
        <f t="shared" si="3"/>
        <v>1440</v>
      </c>
      <c r="J15" s="3">
        <f t="shared" si="2"/>
        <v>1680</v>
      </c>
      <c r="K15" s="3">
        <v>480</v>
      </c>
      <c r="L15" s="3">
        <v>650</v>
      </c>
      <c r="M15" s="3">
        <v>250</v>
      </c>
      <c r="N15" s="3">
        <v>340</v>
      </c>
      <c r="O15" s="3">
        <v>326</v>
      </c>
      <c r="P15" s="3">
        <v>240</v>
      </c>
      <c r="Q15" s="3">
        <v>258</v>
      </c>
      <c r="R15" s="3">
        <v>370</v>
      </c>
      <c r="S15" s="3">
        <v>390</v>
      </c>
      <c r="T15" s="3">
        <v>160</v>
      </c>
      <c r="U15" s="3">
        <v>370</v>
      </c>
      <c r="V15" s="3">
        <v>280</v>
      </c>
      <c r="W15" s="3">
        <v>180</v>
      </c>
      <c r="X15" s="3">
        <v>630</v>
      </c>
      <c r="Y15" s="3">
        <v>430</v>
      </c>
      <c r="Z15" s="3">
        <v>260</v>
      </c>
      <c r="AA15" s="3">
        <v>120</v>
      </c>
      <c r="AB15" s="3">
        <v>210</v>
      </c>
      <c r="AC15" s="3">
        <v>230</v>
      </c>
      <c r="AD15" s="3">
        <v>257</v>
      </c>
      <c r="AE15" s="3">
        <v>134</v>
      </c>
      <c r="BP15" s="3" t="s">
        <v>217</v>
      </c>
    </row>
    <row r="16" customHeight="1" spans="2:68">
      <c r="B16" s="2">
        <v>2605</v>
      </c>
      <c r="C16" s="3">
        <v>2</v>
      </c>
      <c r="D16" s="3" t="s">
        <v>27</v>
      </c>
      <c r="E16" s="6">
        <v>44341</v>
      </c>
      <c r="F16" s="6">
        <v>45044</v>
      </c>
      <c r="G16" s="3">
        <f ca="1" t="shared" si="0"/>
        <v>0</v>
      </c>
      <c r="H16" s="3">
        <f t="shared" ref="H16:H78" si="4">I16*J16</f>
        <v>3219930</v>
      </c>
      <c r="I16" s="3">
        <f t="shared" si="3"/>
        <v>807</v>
      </c>
      <c r="J16" s="3">
        <f t="shared" si="2"/>
        <v>3990</v>
      </c>
      <c r="K16" s="3">
        <v>269</v>
      </c>
      <c r="L16" s="3">
        <v>410</v>
      </c>
      <c r="M16" s="3">
        <v>356</v>
      </c>
      <c r="N16" s="3">
        <v>260</v>
      </c>
      <c r="O16" s="3">
        <v>708</v>
      </c>
      <c r="P16" s="3">
        <v>570</v>
      </c>
      <c r="Q16" s="3">
        <v>250</v>
      </c>
      <c r="R16" s="3">
        <v>450</v>
      </c>
      <c r="S16" s="3">
        <v>270</v>
      </c>
      <c r="T16" s="3">
        <v>370</v>
      </c>
      <c r="U16" s="3">
        <v>470</v>
      </c>
      <c r="V16" s="3">
        <v>360</v>
      </c>
      <c r="W16" s="3">
        <v>420</v>
      </c>
      <c r="X16" s="3">
        <v>570</v>
      </c>
      <c r="Y16" s="3">
        <v>740</v>
      </c>
      <c r="Z16" s="3">
        <v>650</v>
      </c>
      <c r="AA16" s="3">
        <v>250</v>
      </c>
      <c r="AB16" s="3">
        <v>250</v>
      </c>
      <c r="AC16" s="3">
        <v>328</v>
      </c>
      <c r="AD16" s="3">
        <v>137</v>
      </c>
      <c r="AE16" s="3">
        <v>453</v>
      </c>
      <c r="BP16" s="3" t="s">
        <v>217</v>
      </c>
    </row>
    <row r="17" customHeight="1" spans="2:68">
      <c r="B17" s="2">
        <v>2606</v>
      </c>
      <c r="C17" s="3">
        <v>3</v>
      </c>
      <c r="D17" s="3" t="s">
        <v>27</v>
      </c>
      <c r="E17" s="6">
        <v>44329</v>
      </c>
      <c r="F17" s="6">
        <v>45044</v>
      </c>
      <c r="G17" s="3">
        <f ca="1" t="shared" si="0"/>
        <v>0</v>
      </c>
      <c r="H17" s="3">
        <f t="shared" si="4"/>
        <v>2520000</v>
      </c>
      <c r="I17" s="3">
        <f t="shared" si="3"/>
        <v>750</v>
      </c>
      <c r="J17" s="3">
        <f t="shared" si="2"/>
        <v>3360</v>
      </c>
      <c r="K17" s="3">
        <v>250</v>
      </c>
      <c r="L17" s="3">
        <v>410</v>
      </c>
      <c r="M17" s="3">
        <v>270</v>
      </c>
      <c r="N17" s="3">
        <v>410</v>
      </c>
      <c r="O17" s="3">
        <v>540</v>
      </c>
      <c r="P17" s="3">
        <v>480</v>
      </c>
      <c r="Q17" s="3">
        <v>370</v>
      </c>
      <c r="R17" s="3">
        <v>730</v>
      </c>
      <c r="S17" s="3">
        <v>220</v>
      </c>
      <c r="T17" s="3">
        <v>250</v>
      </c>
      <c r="U17" s="3">
        <v>370</v>
      </c>
      <c r="V17" s="3">
        <v>270</v>
      </c>
      <c r="W17" s="3">
        <v>730</v>
      </c>
      <c r="X17" s="3">
        <v>670</v>
      </c>
      <c r="Y17" s="3">
        <v>840</v>
      </c>
      <c r="Z17" s="3">
        <v>480</v>
      </c>
      <c r="AA17" s="3">
        <v>520</v>
      </c>
      <c r="AB17" s="3">
        <v>420</v>
      </c>
      <c r="AC17" s="3">
        <v>318</v>
      </c>
      <c r="AD17" s="3">
        <v>518</v>
      </c>
      <c r="AE17" s="3">
        <v>255</v>
      </c>
      <c r="BP17" s="3" t="s">
        <v>217</v>
      </c>
    </row>
    <row r="18" customHeight="1" spans="2:31">
      <c r="B18" s="2">
        <v>2613</v>
      </c>
      <c r="C18" s="3">
        <v>7</v>
      </c>
      <c r="D18" s="3" t="s">
        <v>27</v>
      </c>
      <c r="E18" s="6">
        <v>44329</v>
      </c>
      <c r="F18" s="6">
        <v>45044</v>
      </c>
      <c r="G18" s="3">
        <f ca="1" t="shared" si="0"/>
        <v>0</v>
      </c>
      <c r="H18" s="3">
        <f t="shared" si="4"/>
        <v>3616200</v>
      </c>
      <c r="I18" s="3">
        <f t="shared" si="3"/>
        <v>1260</v>
      </c>
      <c r="J18" s="3">
        <f t="shared" si="2"/>
        <v>2870</v>
      </c>
      <c r="K18" s="3">
        <v>420</v>
      </c>
      <c r="L18" s="3">
        <v>532</v>
      </c>
      <c r="M18" s="3">
        <v>580</v>
      </c>
      <c r="N18" s="3">
        <v>240</v>
      </c>
      <c r="O18" s="3">
        <v>300</v>
      </c>
      <c r="P18" s="3">
        <v>410</v>
      </c>
      <c r="Q18" s="3">
        <v>380</v>
      </c>
      <c r="R18" s="3">
        <v>260</v>
      </c>
      <c r="S18" s="3">
        <v>160</v>
      </c>
      <c r="T18" s="3">
        <v>360</v>
      </c>
      <c r="U18" s="3">
        <v>230</v>
      </c>
      <c r="V18" s="3">
        <v>580</v>
      </c>
      <c r="W18" s="3">
        <v>750</v>
      </c>
      <c r="X18" s="3">
        <v>230</v>
      </c>
      <c r="Y18" s="3">
        <v>720</v>
      </c>
      <c r="Z18" s="3">
        <v>590</v>
      </c>
      <c r="AA18" s="3">
        <v>230</v>
      </c>
      <c r="AB18" s="3">
        <v>167</v>
      </c>
      <c r="AC18" s="3">
        <v>317</v>
      </c>
      <c r="AD18" s="3">
        <v>317</v>
      </c>
      <c r="AE18" s="3">
        <v>270</v>
      </c>
    </row>
    <row r="19" customHeight="1" spans="2:14">
      <c r="B19" s="2">
        <v>2608</v>
      </c>
      <c r="C19" s="3">
        <v>4</v>
      </c>
      <c r="D19" s="3" t="s">
        <v>27</v>
      </c>
      <c r="E19" s="6">
        <v>44146</v>
      </c>
      <c r="F19" s="6">
        <v>45044</v>
      </c>
      <c r="G19" s="3">
        <f ca="1" t="shared" si="0"/>
        <v>0</v>
      </c>
      <c r="H19" s="3">
        <f t="shared" si="4"/>
        <v>0</v>
      </c>
      <c r="J19" s="3">
        <f t="shared" si="2"/>
        <v>0</v>
      </c>
      <c r="K19" s="3" t="s">
        <v>218</v>
      </c>
      <c r="L19" s="3" t="s">
        <v>219</v>
      </c>
      <c r="N19" s="3" t="s">
        <v>220</v>
      </c>
    </row>
    <row r="20" customHeight="1" spans="2:10">
      <c r="B20" s="2">
        <v>2609</v>
      </c>
      <c r="C20" s="3">
        <v>5</v>
      </c>
      <c r="D20" s="3" t="s">
        <v>27</v>
      </c>
      <c r="E20" s="6">
        <v>44146</v>
      </c>
      <c r="F20" s="6">
        <v>45044</v>
      </c>
      <c r="G20" s="3">
        <f ca="1" t="shared" si="0"/>
        <v>0</v>
      </c>
      <c r="H20" s="3">
        <f t="shared" si="4"/>
        <v>0</v>
      </c>
      <c r="I20" s="3">
        <f>K20*3</f>
        <v>0</v>
      </c>
      <c r="J20" s="3">
        <f t="shared" si="2"/>
        <v>0</v>
      </c>
    </row>
    <row r="21" customHeight="1" spans="2:10">
      <c r="B21" s="2">
        <v>2627</v>
      </c>
      <c r="C21" s="3">
        <v>11</v>
      </c>
      <c r="D21" s="3" t="s">
        <v>27</v>
      </c>
      <c r="E21" s="6">
        <v>44146</v>
      </c>
      <c r="F21" s="6">
        <v>45044</v>
      </c>
      <c r="G21" s="3">
        <f ca="1" t="shared" si="0"/>
        <v>0</v>
      </c>
      <c r="H21" s="3">
        <f t="shared" si="4"/>
        <v>0</v>
      </c>
      <c r="I21" s="3">
        <f>K21*3</f>
        <v>0</v>
      </c>
      <c r="J21" s="3">
        <f t="shared" si="2"/>
        <v>0</v>
      </c>
    </row>
    <row r="22" customHeight="1" spans="2:10">
      <c r="B22" s="2">
        <v>2645</v>
      </c>
      <c r="C22" s="3">
        <v>12</v>
      </c>
      <c r="D22" s="3" t="s">
        <v>27</v>
      </c>
      <c r="E22" s="6">
        <v>44146</v>
      </c>
      <c r="F22" s="6">
        <v>45044</v>
      </c>
      <c r="G22" s="3">
        <f ca="1" t="shared" si="0"/>
        <v>0</v>
      </c>
      <c r="H22" s="3">
        <f t="shared" si="4"/>
        <v>0</v>
      </c>
      <c r="I22" s="3">
        <f>K22*3</f>
        <v>0</v>
      </c>
      <c r="J22" s="3">
        <f t="shared" si="2"/>
        <v>0</v>
      </c>
    </row>
    <row r="23" customHeight="1" spans="2:35">
      <c r="B23" s="2">
        <v>2721</v>
      </c>
      <c r="C23" s="3">
        <v>58</v>
      </c>
      <c r="D23" s="3" t="s">
        <v>27</v>
      </c>
      <c r="E23" s="6">
        <v>44123</v>
      </c>
      <c r="F23" s="6">
        <v>45044</v>
      </c>
      <c r="G23" s="3">
        <f ca="1" t="shared" si="0"/>
        <v>0</v>
      </c>
      <c r="H23" s="3">
        <f t="shared" si="4"/>
        <v>0</v>
      </c>
      <c r="I23" s="3">
        <f>K23*3</f>
        <v>0</v>
      </c>
      <c r="J23" s="3">
        <f t="shared" si="2"/>
        <v>0</v>
      </c>
      <c r="L23" s="3" t="s">
        <v>221</v>
      </c>
      <c r="AI23" s="3" t="s">
        <v>222</v>
      </c>
    </row>
    <row r="24" customHeight="1" spans="2:10">
      <c r="B24" s="2">
        <v>2610</v>
      </c>
      <c r="C24" s="3">
        <v>6</v>
      </c>
      <c r="D24" s="3" t="s">
        <v>27</v>
      </c>
      <c r="E24" s="6">
        <v>44103</v>
      </c>
      <c r="F24" s="6">
        <v>45044</v>
      </c>
      <c r="G24" s="3">
        <f ca="1" t="shared" si="0"/>
        <v>0</v>
      </c>
      <c r="H24" s="3">
        <f t="shared" si="4"/>
        <v>0</v>
      </c>
      <c r="I24" s="3">
        <f>K24*3</f>
        <v>0</v>
      </c>
      <c r="J24" s="3">
        <f t="shared" si="2"/>
        <v>0</v>
      </c>
    </row>
    <row r="25" customHeight="1" spans="2:11">
      <c r="B25" s="2">
        <v>2614</v>
      </c>
      <c r="C25" s="3">
        <v>8</v>
      </c>
      <c r="D25" s="3" t="s">
        <v>27</v>
      </c>
      <c r="E25" s="6">
        <v>44103</v>
      </c>
      <c r="F25" s="6">
        <v>45044</v>
      </c>
      <c r="G25" s="3">
        <f ca="1" t="shared" si="0"/>
        <v>0</v>
      </c>
      <c r="H25" s="3">
        <f t="shared" si="4"/>
        <v>0</v>
      </c>
      <c r="J25" s="3">
        <f t="shared" si="2"/>
        <v>0</v>
      </c>
      <c r="K25" s="3" t="s">
        <v>223</v>
      </c>
    </row>
    <row r="26" customHeight="1" spans="2:11">
      <c r="B26" s="2">
        <v>2615</v>
      </c>
      <c r="C26" s="3">
        <v>9</v>
      </c>
      <c r="D26" s="3" t="s">
        <v>27</v>
      </c>
      <c r="E26" s="6">
        <v>44103</v>
      </c>
      <c r="F26" s="6">
        <v>45044</v>
      </c>
      <c r="G26" s="3">
        <f ca="1" t="shared" si="0"/>
        <v>0</v>
      </c>
      <c r="H26" s="3">
        <f t="shared" si="4"/>
        <v>0</v>
      </c>
      <c r="J26" s="3">
        <f t="shared" si="2"/>
        <v>0</v>
      </c>
      <c r="K26" s="3" t="s">
        <v>224</v>
      </c>
    </row>
    <row r="27" customHeight="1" spans="2:10">
      <c r="B27" s="2">
        <v>2616</v>
      </c>
      <c r="C27" s="3">
        <v>10</v>
      </c>
      <c r="D27" s="3" t="s">
        <v>27</v>
      </c>
      <c r="E27" s="6">
        <v>44103</v>
      </c>
      <c r="F27" s="6">
        <v>45044</v>
      </c>
      <c r="G27" s="3">
        <f ca="1" t="shared" si="0"/>
        <v>0</v>
      </c>
      <c r="H27" s="3">
        <f t="shared" si="4"/>
        <v>0</v>
      </c>
      <c r="I27" s="3">
        <f>K27*3</f>
        <v>0</v>
      </c>
      <c r="J27" s="3">
        <f t="shared" si="2"/>
        <v>0</v>
      </c>
    </row>
    <row r="28" customHeight="1" spans="2:15">
      <c r="B28" s="2">
        <v>2705</v>
      </c>
      <c r="C28" s="3">
        <v>44</v>
      </c>
      <c r="D28" s="3" t="s">
        <v>27</v>
      </c>
      <c r="E28" s="6">
        <v>44101</v>
      </c>
      <c r="F28" s="6">
        <v>45044</v>
      </c>
      <c r="G28" s="3">
        <f ca="1" t="shared" si="0"/>
        <v>0</v>
      </c>
      <c r="H28" s="3">
        <f t="shared" si="4"/>
        <v>0</v>
      </c>
      <c r="J28" s="3">
        <f t="shared" si="2"/>
        <v>0</v>
      </c>
      <c r="K28" s="3" t="s">
        <v>225</v>
      </c>
      <c r="L28" s="3" t="s">
        <v>226</v>
      </c>
      <c r="O28" s="3" t="s">
        <v>186</v>
      </c>
    </row>
    <row r="29" customHeight="1" spans="2:10">
      <c r="B29" s="2">
        <v>2710</v>
      </c>
      <c r="C29" s="3">
        <v>49</v>
      </c>
      <c r="D29" s="3" t="s">
        <v>27</v>
      </c>
      <c r="E29" s="6">
        <v>44101</v>
      </c>
      <c r="F29" s="6">
        <v>45044</v>
      </c>
      <c r="G29" s="3">
        <f ca="1" t="shared" si="0"/>
        <v>0</v>
      </c>
      <c r="H29" s="3">
        <f t="shared" si="4"/>
        <v>0</v>
      </c>
      <c r="I29" s="3">
        <f t="shared" ref="I29:I41" si="5">K29*3</f>
        <v>0</v>
      </c>
      <c r="J29" s="3">
        <f t="shared" si="2"/>
        <v>0</v>
      </c>
    </row>
    <row r="30" customHeight="1" spans="2:85">
      <c r="B30" s="2">
        <v>2711</v>
      </c>
      <c r="C30" s="3">
        <v>50</v>
      </c>
      <c r="D30" s="3" t="s">
        <v>27</v>
      </c>
      <c r="E30" s="6">
        <v>44101</v>
      </c>
      <c r="F30" s="6">
        <v>45044</v>
      </c>
      <c r="G30" s="3">
        <f ca="1" t="shared" si="0"/>
        <v>0</v>
      </c>
      <c r="H30" s="3">
        <f t="shared" si="4"/>
        <v>0</v>
      </c>
      <c r="I30" s="3">
        <f t="shared" si="5"/>
        <v>0</v>
      </c>
      <c r="J30" s="3">
        <f t="shared" si="2"/>
        <v>0</v>
      </c>
      <c r="L30" s="3" t="s">
        <v>101</v>
      </c>
      <c r="CG30" s="3" t="s">
        <v>85</v>
      </c>
    </row>
    <row r="31" customHeight="1" spans="2:12">
      <c r="B31" s="2">
        <v>2707</v>
      </c>
      <c r="C31" s="3">
        <v>46</v>
      </c>
      <c r="D31" s="3" t="s">
        <v>27</v>
      </c>
      <c r="E31" s="6">
        <v>44101</v>
      </c>
      <c r="F31" s="6">
        <v>45044</v>
      </c>
      <c r="G31" s="3">
        <f ca="1" t="shared" si="0"/>
        <v>0</v>
      </c>
      <c r="H31" s="3">
        <f t="shared" si="4"/>
        <v>0</v>
      </c>
      <c r="I31" s="3">
        <f t="shared" si="5"/>
        <v>0</v>
      </c>
      <c r="J31" s="3">
        <f t="shared" si="2"/>
        <v>0</v>
      </c>
      <c r="L31" s="3" t="s">
        <v>227</v>
      </c>
    </row>
    <row r="32" customHeight="1" spans="2:14">
      <c r="B32" s="2">
        <v>2708</v>
      </c>
      <c r="C32" s="3">
        <v>47</v>
      </c>
      <c r="D32" s="3" t="s">
        <v>27</v>
      </c>
      <c r="E32" s="6">
        <v>44101</v>
      </c>
      <c r="F32" s="6">
        <v>45044</v>
      </c>
      <c r="G32" s="3">
        <f ca="1" t="shared" si="0"/>
        <v>0</v>
      </c>
      <c r="H32" s="3">
        <f t="shared" si="4"/>
        <v>0</v>
      </c>
      <c r="I32" s="3">
        <f t="shared" si="5"/>
        <v>0</v>
      </c>
      <c r="J32" s="3">
        <f t="shared" si="2"/>
        <v>0</v>
      </c>
      <c r="N32" s="3" t="s">
        <v>228</v>
      </c>
    </row>
    <row r="33" customHeight="1" spans="2:10">
      <c r="B33" s="2">
        <v>2709</v>
      </c>
      <c r="C33" s="3">
        <v>48</v>
      </c>
      <c r="D33" s="3" t="s">
        <v>27</v>
      </c>
      <c r="E33" s="6">
        <v>44097</v>
      </c>
      <c r="F33" s="6">
        <v>45044</v>
      </c>
      <c r="G33" s="3">
        <f ca="1" t="shared" si="0"/>
        <v>0</v>
      </c>
      <c r="H33" s="3">
        <f t="shared" si="4"/>
        <v>0</v>
      </c>
      <c r="I33" s="3">
        <f t="shared" si="5"/>
        <v>0</v>
      </c>
      <c r="J33" s="3">
        <f t="shared" si="2"/>
        <v>0</v>
      </c>
    </row>
    <row r="34" customHeight="1" spans="2:16">
      <c r="B34" s="2">
        <v>2714</v>
      </c>
      <c r="C34" s="3">
        <v>51</v>
      </c>
      <c r="D34" s="3" t="s">
        <v>229</v>
      </c>
      <c r="E34" s="6">
        <v>44097</v>
      </c>
      <c r="F34" s="6">
        <v>45044</v>
      </c>
      <c r="G34" s="3">
        <f ca="1" t="shared" si="0"/>
        <v>0</v>
      </c>
      <c r="H34" s="3">
        <f t="shared" si="4"/>
        <v>0</v>
      </c>
      <c r="I34" s="3">
        <f t="shared" si="5"/>
        <v>0</v>
      </c>
      <c r="P34" s="3" t="s">
        <v>228</v>
      </c>
    </row>
    <row r="35" customHeight="1" spans="2:17">
      <c r="B35" s="2">
        <v>2715</v>
      </c>
      <c r="C35" s="3">
        <v>52</v>
      </c>
      <c r="D35" s="3" t="s">
        <v>229</v>
      </c>
      <c r="E35" s="6">
        <v>44097</v>
      </c>
      <c r="F35" s="6">
        <v>1</v>
      </c>
      <c r="G35" s="3">
        <f ca="1" t="shared" si="0"/>
        <v>0</v>
      </c>
      <c r="H35" s="3">
        <f t="shared" si="4"/>
        <v>0</v>
      </c>
      <c r="I35" s="3">
        <f t="shared" si="5"/>
        <v>0</v>
      </c>
      <c r="J35" s="3">
        <f t="shared" ref="J35:J78" si="6">P35*7</f>
        <v>0</v>
      </c>
      <c r="Q35" s="3" t="s">
        <v>230</v>
      </c>
    </row>
    <row r="36" customHeight="1" spans="2:10">
      <c r="B36" s="2">
        <v>2716</v>
      </c>
      <c r="C36" s="3">
        <v>53</v>
      </c>
      <c r="D36" s="3" t="s">
        <v>231</v>
      </c>
      <c r="E36" s="6">
        <v>44097</v>
      </c>
      <c r="F36" s="6">
        <v>1</v>
      </c>
      <c r="G36" s="3">
        <f ca="1" t="shared" si="0"/>
        <v>0</v>
      </c>
      <c r="H36" s="3">
        <f t="shared" si="4"/>
        <v>0</v>
      </c>
      <c r="I36" s="3">
        <f t="shared" si="5"/>
        <v>0</v>
      </c>
      <c r="J36" s="3">
        <f t="shared" si="6"/>
        <v>0</v>
      </c>
    </row>
    <row r="37" customHeight="1" spans="2:10">
      <c r="B37" s="2">
        <v>2717</v>
      </c>
      <c r="C37" s="3">
        <v>54</v>
      </c>
      <c r="D37" s="3" t="s">
        <v>231</v>
      </c>
      <c r="E37" s="6">
        <v>44097</v>
      </c>
      <c r="F37" s="6">
        <v>1</v>
      </c>
      <c r="G37" s="3">
        <f ca="1" t="shared" si="0"/>
        <v>0</v>
      </c>
      <c r="H37" s="3">
        <f t="shared" si="4"/>
        <v>0</v>
      </c>
      <c r="I37" s="3">
        <f t="shared" si="5"/>
        <v>0</v>
      </c>
      <c r="J37" s="3">
        <f t="shared" si="6"/>
        <v>0</v>
      </c>
    </row>
    <row r="38" customHeight="1" spans="2:10">
      <c r="B38" s="2">
        <v>2718</v>
      </c>
      <c r="C38" s="3">
        <v>55</v>
      </c>
      <c r="D38" s="3" t="s">
        <v>231</v>
      </c>
      <c r="E38" s="6">
        <v>44097</v>
      </c>
      <c r="F38" s="6">
        <v>1</v>
      </c>
      <c r="G38" s="3">
        <f ca="1" t="shared" si="0"/>
        <v>0</v>
      </c>
      <c r="H38" s="3">
        <f t="shared" si="4"/>
        <v>0</v>
      </c>
      <c r="I38" s="3">
        <f t="shared" si="5"/>
        <v>0</v>
      </c>
      <c r="J38" s="3">
        <f t="shared" si="6"/>
        <v>0</v>
      </c>
    </row>
    <row r="39" customHeight="1" spans="2:10">
      <c r="B39" s="2">
        <v>2719</v>
      </c>
      <c r="C39" s="3">
        <v>56</v>
      </c>
      <c r="D39" s="3" t="s">
        <v>231</v>
      </c>
      <c r="E39" s="6">
        <v>44097</v>
      </c>
      <c r="F39" s="6">
        <v>1</v>
      </c>
      <c r="G39" s="3">
        <f ca="1" t="shared" si="0"/>
        <v>0</v>
      </c>
      <c r="H39" s="3">
        <f t="shared" si="4"/>
        <v>0</v>
      </c>
      <c r="I39" s="3">
        <f t="shared" si="5"/>
        <v>0</v>
      </c>
      <c r="J39" s="3">
        <f t="shared" si="6"/>
        <v>0</v>
      </c>
    </row>
    <row r="40" customHeight="1" spans="2:10">
      <c r="B40" s="2">
        <v>2720</v>
      </c>
      <c r="C40" s="3">
        <v>57</v>
      </c>
      <c r="D40" s="3" t="s">
        <v>231</v>
      </c>
      <c r="E40" s="6">
        <v>44097</v>
      </c>
      <c r="F40" s="6">
        <v>1</v>
      </c>
      <c r="G40" s="3">
        <f ca="1" t="shared" si="0"/>
        <v>0</v>
      </c>
      <c r="H40" s="3">
        <f t="shared" si="4"/>
        <v>0</v>
      </c>
      <c r="I40" s="3">
        <f t="shared" si="5"/>
        <v>0</v>
      </c>
      <c r="J40" s="3">
        <f t="shared" si="6"/>
        <v>0</v>
      </c>
    </row>
    <row r="41" customHeight="1" spans="2:10">
      <c r="B41" s="2">
        <v>2706</v>
      </c>
      <c r="C41" s="3">
        <v>45</v>
      </c>
      <c r="D41" s="3" t="s">
        <v>27</v>
      </c>
      <c r="E41" s="6">
        <v>44097</v>
      </c>
      <c r="F41" s="6">
        <v>1</v>
      </c>
      <c r="G41" s="3">
        <f ca="1" t="shared" si="0"/>
        <v>0</v>
      </c>
      <c r="H41" s="3">
        <f t="shared" si="4"/>
        <v>0</v>
      </c>
      <c r="I41" s="3">
        <f t="shared" si="5"/>
        <v>0</v>
      </c>
      <c r="J41" s="3">
        <f t="shared" si="6"/>
        <v>0</v>
      </c>
    </row>
    <row r="42" customHeight="1" spans="2:35">
      <c r="B42" s="2">
        <v>2722</v>
      </c>
      <c r="C42" s="3">
        <v>59</v>
      </c>
      <c r="D42" s="3" t="s">
        <v>232</v>
      </c>
      <c r="E42" s="6">
        <v>44097</v>
      </c>
      <c r="F42" s="6">
        <v>45044</v>
      </c>
      <c r="G42" s="3">
        <f ca="1" t="shared" si="0"/>
        <v>0</v>
      </c>
      <c r="H42" s="3">
        <f t="shared" si="4"/>
        <v>0</v>
      </c>
      <c r="J42" s="3">
        <f t="shared" si="6"/>
        <v>0</v>
      </c>
      <c r="K42" s="3" t="s">
        <v>233</v>
      </c>
      <c r="AI42" s="3" t="s">
        <v>85</v>
      </c>
    </row>
    <row r="43" customHeight="1" spans="2:10">
      <c r="B43" s="2">
        <v>2723</v>
      </c>
      <c r="C43" s="3">
        <v>60</v>
      </c>
      <c r="D43" s="3" t="s">
        <v>232</v>
      </c>
      <c r="E43" s="6">
        <v>44097</v>
      </c>
      <c r="F43" s="6">
        <v>1</v>
      </c>
      <c r="G43" s="3">
        <f ca="1" t="shared" si="0"/>
        <v>0</v>
      </c>
      <c r="H43" s="3">
        <f t="shared" si="4"/>
        <v>0</v>
      </c>
      <c r="I43" s="3">
        <f>K43*3</f>
        <v>0</v>
      </c>
      <c r="J43" s="3">
        <f t="shared" si="6"/>
        <v>0</v>
      </c>
    </row>
    <row r="44" customHeight="1" spans="2:85">
      <c r="B44" s="2">
        <v>2724</v>
      </c>
      <c r="C44" s="3">
        <v>61</v>
      </c>
      <c r="D44" s="3" t="s">
        <v>232</v>
      </c>
      <c r="E44" s="6">
        <v>44097</v>
      </c>
      <c r="F44" s="6">
        <v>1</v>
      </c>
      <c r="G44" s="3">
        <f ca="1" t="shared" si="0"/>
        <v>0</v>
      </c>
      <c r="H44" s="3">
        <f t="shared" si="4"/>
        <v>0</v>
      </c>
      <c r="J44" s="3">
        <f t="shared" si="6"/>
        <v>0</v>
      </c>
      <c r="K44" s="3" t="s">
        <v>233</v>
      </c>
      <c r="CG44" s="3" t="s">
        <v>85</v>
      </c>
    </row>
    <row r="45" customHeight="1" spans="2:10">
      <c r="B45" s="2">
        <v>2725</v>
      </c>
      <c r="C45" s="3">
        <v>62</v>
      </c>
      <c r="D45" s="3" t="s">
        <v>232</v>
      </c>
      <c r="E45" s="6">
        <v>44097</v>
      </c>
      <c r="F45" s="6">
        <v>1</v>
      </c>
      <c r="G45" s="3">
        <f ca="1" t="shared" si="0"/>
        <v>0</v>
      </c>
      <c r="H45" s="3">
        <f t="shared" si="4"/>
        <v>0</v>
      </c>
      <c r="I45" s="3">
        <f t="shared" ref="I45:I78" si="7">K45*3</f>
        <v>0</v>
      </c>
      <c r="J45" s="3">
        <f t="shared" si="6"/>
        <v>0</v>
      </c>
    </row>
    <row r="46" customHeight="1" spans="2:10">
      <c r="B46" s="2">
        <v>2726</v>
      </c>
      <c r="C46" s="3">
        <v>63</v>
      </c>
      <c r="D46" s="3" t="s">
        <v>232</v>
      </c>
      <c r="E46" s="6">
        <v>44097</v>
      </c>
      <c r="F46" s="6">
        <v>1</v>
      </c>
      <c r="G46" s="3">
        <f ca="1" t="shared" si="0"/>
        <v>0</v>
      </c>
      <c r="H46" s="3">
        <f t="shared" si="4"/>
        <v>0</v>
      </c>
      <c r="I46" s="3">
        <f t="shared" si="7"/>
        <v>0</v>
      </c>
      <c r="J46" s="3">
        <f t="shared" si="6"/>
        <v>0</v>
      </c>
    </row>
    <row r="47" customHeight="1" spans="2:10">
      <c r="B47" s="2">
        <v>2727</v>
      </c>
      <c r="C47" s="3">
        <v>64</v>
      </c>
      <c r="D47" s="3" t="s">
        <v>231</v>
      </c>
      <c r="E47" s="6">
        <v>44097</v>
      </c>
      <c r="F47" s="6">
        <v>1</v>
      </c>
      <c r="G47" s="3">
        <f ca="1" t="shared" si="0"/>
        <v>0</v>
      </c>
      <c r="H47" s="3">
        <f t="shared" si="4"/>
        <v>0</v>
      </c>
      <c r="I47" s="3">
        <f t="shared" si="7"/>
        <v>0</v>
      </c>
      <c r="J47" s="3">
        <f t="shared" si="6"/>
        <v>0</v>
      </c>
    </row>
    <row r="48" customHeight="1" spans="2:106">
      <c r="B48" s="2">
        <v>2685</v>
      </c>
      <c r="C48" s="3">
        <v>35</v>
      </c>
      <c r="D48" s="3" t="s">
        <v>27</v>
      </c>
      <c r="E48" s="6">
        <v>44097</v>
      </c>
      <c r="F48" s="6">
        <v>45044</v>
      </c>
      <c r="G48" s="3">
        <f ca="1" t="shared" si="0"/>
        <v>0</v>
      </c>
      <c r="H48" s="3">
        <f t="shared" si="4"/>
        <v>0</v>
      </c>
      <c r="I48" s="3">
        <f t="shared" si="7"/>
        <v>0</v>
      </c>
      <c r="J48" s="3">
        <f t="shared" si="6"/>
        <v>0</v>
      </c>
      <c r="DB48" s="3">
        <v>370</v>
      </c>
    </row>
    <row r="49" customHeight="1" spans="2:10">
      <c r="B49" s="2">
        <v>2697</v>
      </c>
      <c r="C49" s="3">
        <v>36</v>
      </c>
      <c r="D49" s="3" t="s">
        <v>27</v>
      </c>
      <c r="E49" s="6">
        <v>44097</v>
      </c>
      <c r="F49" s="6">
        <v>45044</v>
      </c>
      <c r="G49" s="3">
        <f ca="1" t="shared" si="0"/>
        <v>0</v>
      </c>
      <c r="H49" s="3">
        <f t="shared" si="4"/>
        <v>0</v>
      </c>
      <c r="I49" s="3">
        <f t="shared" si="7"/>
        <v>0</v>
      </c>
      <c r="J49" s="3">
        <f t="shared" si="6"/>
        <v>0</v>
      </c>
    </row>
    <row r="50" customHeight="1" spans="2:10">
      <c r="B50" s="2">
        <v>2698</v>
      </c>
      <c r="C50" s="3">
        <v>37</v>
      </c>
      <c r="D50" s="3" t="s">
        <v>27</v>
      </c>
      <c r="E50" s="6">
        <v>44097</v>
      </c>
      <c r="F50" s="6">
        <v>45044</v>
      </c>
      <c r="G50" s="3">
        <f ca="1" t="shared" si="0"/>
        <v>0</v>
      </c>
      <c r="H50" s="3">
        <f t="shared" si="4"/>
        <v>0</v>
      </c>
      <c r="I50" s="3">
        <f t="shared" si="7"/>
        <v>0</v>
      </c>
      <c r="J50" s="3">
        <f t="shared" si="6"/>
        <v>0</v>
      </c>
    </row>
    <row r="51" customHeight="1" spans="2:10">
      <c r="B51" s="2">
        <v>2699</v>
      </c>
      <c r="C51" s="3">
        <v>38</v>
      </c>
      <c r="D51" s="3" t="s">
        <v>27</v>
      </c>
      <c r="E51" s="6">
        <v>44097</v>
      </c>
      <c r="F51" s="6">
        <v>45044</v>
      </c>
      <c r="G51" s="3">
        <f ca="1" t="shared" si="0"/>
        <v>0</v>
      </c>
      <c r="H51" s="3">
        <f t="shared" si="4"/>
        <v>0</v>
      </c>
      <c r="I51" s="3">
        <f t="shared" si="7"/>
        <v>0</v>
      </c>
      <c r="J51" s="3">
        <f t="shared" si="6"/>
        <v>0</v>
      </c>
    </row>
    <row r="52" customHeight="1" spans="2:10">
      <c r="B52" s="2">
        <v>2700</v>
      </c>
      <c r="C52" s="3">
        <v>39</v>
      </c>
      <c r="D52" s="3" t="s">
        <v>27</v>
      </c>
      <c r="E52" s="6">
        <v>44097</v>
      </c>
      <c r="F52" s="6">
        <v>45044</v>
      </c>
      <c r="G52" s="3">
        <f ca="1" t="shared" si="0"/>
        <v>0</v>
      </c>
      <c r="H52" s="3">
        <f t="shared" si="4"/>
        <v>0</v>
      </c>
      <c r="I52" s="3">
        <f t="shared" si="7"/>
        <v>0</v>
      </c>
      <c r="J52" s="3">
        <f t="shared" si="6"/>
        <v>0</v>
      </c>
    </row>
    <row r="53" customHeight="1" spans="2:10">
      <c r="B53" s="2">
        <v>2701</v>
      </c>
      <c r="C53" s="3">
        <v>40</v>
      </c>
      <c r="D53" s="3" t="s">
        <v>27</v>
      </c>
      <c r="E53" s="6">
        <v>44097</v>
      </c>
      <c r="F53" s="6">
        <v>45044</v>
      </c>
      <c r="G53" s="3">
        <f ca="1" t="shared" si="0"/>
        <v>0</v>
      </c>
      <c r="H53" s="3">
        <f t="shared" si="4"/>
        <v>0</v>
      </c>
      <c r="I53" s="3">
        <f t="shared" si="7"/>
        <v>0</v>
      </c>
      <c r="J53" s="3">
        <f t="shared" si="6"/>
        <v>0</v>
      </c>
    </row>
    <row r="54" customHeight="1" spans="2:10">
      <c r="B54" s="2">
        <v>2702</v>
      </c>
      <c r="C54" s="3">
        <v>41</v>
      </c>
      <c r="D54" s="3" t="s">
        <v>27</v>
      </c>
      <c r="E54" s="6">
        <v>44097</v>
      </c>
      <c r="F54" s="6">
        <v>45044</v>
      </c>
      <c r="G54" s="3">
        <f ca="1" t="shared" si="0"/>
        <v>0</v>
      </c>
      <c r="H54" s="3">
        <f t="shared" si="4"/>
        <v>0</v>
      </c>
      <c r="I54" s="3">
        <f t="shared" si="7"/>
        <v>0</v>
      </c>
      <c r="J54" s="3">
        <f t="shared" si="6"/>
        <v>0</v>
      </c>
    </row>
    <row r="55" customHeight="1" spans="2:10">
      <c r="B55" s="2">
        <v>2703</v>
      </c>
      <c r="C55" s="3">
        <v>42</v>
      </c>
      <c r="D55" s="3" t="s">
        <v>27</v>
      </c>
      <c r="E55" s="6">
        <v>44097</v>
      </c>
      <c r="F55" s="6">
        <v>45044</v>
      </c>
      <c r="G55" s="3">
        <f ca="1" t="shared" si="0"/>
        <v>0</v>
      </c>
      <c r="H55" s="3">
        <f t="shared" si="4"/>
        <v>0</v>
      </c>
      <c r="I55" s="3">
        <f t="shared" si="7"/>
        <v>0</v>
      </c>
      <c r="J55" s="3">
        <f t="shared" si="6"/>
        <v>0</v>
      </c>
    </row>
    <row r="56" customHeight="1" spans="2:10">
      <c r="B56" s="2">
        <v>2704</v>
      </c>
      <c r="C56" s="3">
        <v>43</v>
      </c>
      <c r="D56" s="3" t="s">
        <v>27</v>
      </c>
      <c r="E56" s="6">
        <v>44097</v>
      </c>
      <c r="F56" s="6">
        <v>45044</v>
      </c>
      <c r="G56" s="3">
        <f ca="1" t="shared" si="0"/>
        <v>0</v>
      </c>
      <c r="H56" s="3">
        <f t="shared" si="4"/>
        <v>0</v>
      </c>
      <c r="I56" s="3">
        <f t="shared" si="7"/>
        <v>0</v>
      </c>
      <c r="J56" s="3">
        <f t="shared" si="6"/>
        <v>0</v>
      </c>
    </row>
    <row r="57" customHeight="1" spans="2:10">
      <c r="B57" s="2">
        <v>2647</v>
      </c>
      <c r="C57" s="3">
        <v>13</v>
      </c>
      <c r="D57" s="3" t="s">
        <v>27</v>
      </c>
      <c r="E57" s="6">
        <v>44095</v>
      </c>
      <c r="F57" s="6">
        <v>45044</v>
      </c>
      <c r="G57" s="3">
        <f ca="1" t="shared" si="0"/>
        <v>0</v>
      </c>
      <c r="H57" s="3">
        <f t="shared" si="4"/>
        <v>0</v>
      </c>
      <c r="I57" s="3">
        <f t="shared" si="7"/>
        <v>0</v>
      </c>
      <c r="J57" s="3">
        <f t="shared" si="6"/>
        <v>0</v>
      </c>
    </row>
    <row r="58" customHeight="1" spans="2:10">
      <c r="B58" s="2">
        <v>2649</v>
      </c>
      <c r="C58" s="3">
        <v>14</v>
      </c>
      <c r="D58" s="3" t="s">
        <v>27</v>
      </c>
      <c r="E58" s="6">
        <v>44092</v>
      </c>
      <c r="F58" s="6">
        <v>45044</v>
      </c>
      <c r="G58" s="3">
        <f ca="1" t="shared" si="0"/>
        <v>0</v>
      </c>
      <c r="H58" s="3">
        <f t="shared" si="4"/>
        <v>0</v>
      </c>
      <c r="I58" s="3">
        <f t="shared" si="7"/>
        <v>0</v>
      </c>
      <c r="J58" s="3">
        <f t="shared" si="6"/>
        <v>0</v>
      </c>
    </row>
    <row r="59" customHeight="1" spans="2:10">
      <c r="B59" s="2">
        <v>2679</v>
      </c>
      <c r="C59" s="3">
        <v>33</v>
      </c>
      <c r="D59" s="3" t="s">
        <v>27</v>
      </c>
      <c r="E59" s="6">
        <v>44092</v>
      </c>
      <c r="F59" s="6">
        <v>1</v>
      </c>
      <c r="G59" s="3">
        <f ca="1" t="shared" si="0"/>
        <v>0</v>
      </c>
      <c r="H59" s="3">
        <f t="shared" si="4"/>
        <v>0</v>
      </c>
      <c r="I59" s="3">
        <f t="shared" si="7"/>
        <v>0</v>
      </c>
      <c r="J59" s="3">
        <f t="shared" si="6"/>
        <v>0</v>
      </c>
    </row>
    <row r="60" customHeight="1" spans="2:10">
      <c r="B60" s="2">
        <v>2680</v>
      </c>
      <c r="C60" s="3">
        <v>34</v>
      </c>
      <c r="D60" s="3" t="s">
        <v>27</v>
      </c>
      <c r="E60" s="6">
        <v>44092</v>
      </c>
      <c r="F60" s="6">
        <v>1</v>
      </c>
      <c r="G60" s="3">
        <f ca="1" t="shared" si="0"/>
        <v>0</v>
      </c>
      <c r="H60" s="3">
        <f t="shared" si="4"/>
        <v>0</v>
      </c>
      <c r="I60" s="3">
        <f t="shared" si="7"/>
        <v>0</v>
      </c>
      <c r="J60" s="3">
        <f t="shared" si="6"/>
        <v>0</v>
      </c>
    </row>
    <row r="61" customHeight="1" spans="2:10">
      <c r="B61" s="2">
        <v>2650</v>
      </c>
      <c r="C61" s="3">
        <v>15</v>
      </c>
      <c r="D61" s="3" t="s">
        <v>27</v>
      </c>
      <c r="E61" s="6">
        <v>44091</v>
      </c>
      <c r="F61" s="6">
        <v>1</v>
      </c>
      <c r="G61" s="3">
        <f ca="1" t="shared" si="0"/>
        <v>0</v>
      </c>
      <c r="H61" s="3">
        <f t="shared" si="4"/>
        <v>0</v>
      </c>
      <c r="I61" s="3">
        <f t="shared" si="7"/>
        <v>0</v>
      </c>
      <c r="J61" s="3">
        <f t="shared" si="6"/>
        <v>0</v>
      </c>
    </row>
    <row r="62" customHeight="1" spans="2:10">
      <c r="B62" s="2">
        <v>2651</v>
      </c>
      <c r="C62" s="3">
        <v>16</v>
      </c>
      <c r="D62" s="3" t="s">
        <v>27</v>
      </c>
      <c r="E62" s="6">
        <v>44091</v>
      </c>
      <c r="F62" s="6">
        <v>45044</v>
      </c>
      <c r="G62" s="3">
        <f ca="1" t="shared" si="0"/>
        <v>0</v>
      </c>
      <c r="H62" s="3">
        <f t="shared" si="4"/>
        <v>0</v>
      </c>
      <c r="I62" s="3">
        <f t="shared" si="7"/>
        <v>0</v>
      </c>
      <c r="J62" s="3">
        <f t="shared" si="6"/>
        <v>0</v>
      </c>
    </row>
    <row r="63" customHeight="1" spans="2:10">
      <c r="B63" s="2">
        <v>2652</v>
      </c>
      <c r="C63" s="3">
        <v>17</v>
      </c>
      <c r="D63" s="3" t="s">
        <v>27</v>
      </c>
      <c r="E63" s="6">
        <v>44091</v>
      </c>
      <c r="F63" s="6">
        <v>1</v>
      </c>
      <c r="G63" s="3">
        <f ca="1" t="shared" si="0"/>
        <v>0</v>
      </c>
      <c r="H63" s="3">
        <f t="shared" si="4"/>
        <v>0</v>
      </c>
      <c r="I63" s="3">
        <f t="shared" si="7"/>
        <v>0</v>
      </c>
      <c r="J63" s="3">
        <f t="shared" si="6"/>
        <v>0</v>
      </c>
    </row>
    <row r="64" customHeight="1" spans="2:10">
      <c r="B64" s="2">
        <v>2653</v>
      </c>
      <c r="C64" s="3">
        <v>18</v>
      </c>
      <c r="D64" s="3" t="s">
        <v>27</v>
      </c>
      <c r="E64" s="6">
        <v>44091</v>
      </c>
      <c r="F64" s="6">
        <v>45044</v>
      </c>
      <c r="G64" s="3">
        <f ca="1" t="shared" si="0"/>
        <v>0</v>
      </c>
      <c r="H64" s="3">
        <f t="shared" si="4"/>
        <v>0</v>
      </c>
      <c r="I64" s="3">
        <f t="shared" si="7"/>
        <v>0</v>
      </c>
      <c r="J64" s="3">
        <f t="shared" si="6"/>
        <v>0</v>
      </c>
    </row>
    <row r="65" customHeight="1" spans="2:10">
      <c r="B65" s="2">
        <v>2654</v>
      </c>
      <c r="C65" s="3">
        <v>19</v>
      </c>
      <c r="D65" s="3" t="s">
        <v>27</v>
      </c>
      <c r="E65" s="6">
        <v>44091</v>
      </c>
      <c r="F65" s="6">
        <v>45044</v>
      </c>
      <c r="G65" s="3">
        <f ca="1" t="shared" si="0"/>
        <v>0</v>
      </c>
      <c r="H65" s="3">
        <f t="shared" si="4"/>
        <v>0</v>
      </c>
      <c r="I65" s="3">
        <f t="shared" si="7"/>
        <v>0</v>
      </c>
      <c r="J65" s="3">
        <f t="shared" si="6"/>
        <v>0</v>
      </c>
    </row>
    <row r="66" customHeight="1" spans="2:10">
      <c r="B66" s="2">
        <v>2655</v>
      </c>
      <c r="C66" s="3">
        <v>20</v>
      </c>
      <c r="D66" s="3" t="s">
        <v>27</v>
      </c>
      <c r="E66" s="6">
        <v>44091</v>
      </c>
      <c r="F66" s="6">
        <v>1</v>
      </c>
      <c r="G66" s="3">
        <f ca="1" t="shared" si="0"/>
        <v>0</v>
      </c>
      <c r="H66" s="3">
        <f t="shared" si="4"/>
        <v>0</v>
      </c>
      <c r="I66" s="3">
        <f t="shared" si="7"/>
        <v>0</v>
      </c>
      <c r="J66" s="3">
        <f t="shared" si="6"/>
        <v>0</v>
      </c>
    </row>
    <row r="67" customHeight="1" spans="2:10">
      <c r="B67" s="2">
        <v>2656</v>
      </c>
      <c r="C67" s="3">
        <v>21</v>
      </c>
      <c r="D67" s="3" t="s">
        <v>27</v>
      </c>
      <c r="E67" s="6">
        <v>44091</v>
      </c>
      <c r="F67" s="6">
        <v>1</v>
      </c>
      <c r="G67" s="3">
        <f ca="1" t="shared" si="0"/>
        <v>0</v>
      </c>
      <c r="H67" s="3">
        <f t="shared" si="4"/>
        <v>0</v>
      </c>
      <c r="I67" s="3">
        <f t="shared" si="7"/>
        <v>0</v>
      </c>
      <c r="J67" s="3">
        <f t="shared" si="6"/>
        <v>0</v>
      </c>
    </row>
    <row r="68" customHeight="1" spans="2:10">
      <c r="B68" s="2">
        <v>2657</v>
      </c>
      <c r="C68" s="3">
        <v>22</v>
      </c>
      <c r="D68" s="3" t="s">
        <v>27</v>
      </c>
      <c r="E68" s="6">
        <v>44091</v>
      </c>
      <c r="F68" s="6">
        <v>1</v>
      </c>
      <c r="G68" s="3">
        <f ca="1" t="shared" si="0"/>
        <v>0</v>
      </c>
      <c r="H68" s="3">
        <f t="shared" si="4"/>
        <v>0</v>
      </c>
      <c r="I68" s="3">
        <f t="shared" si="7"/>
        <v>0</v>
      </c>
      <c r="J68" s="3">
        <f t="shared" si="6"/>
        <v>0</v>
      </c>
    </row>
    <row r="69" customHeight="1" spans="2:10">
      <c r="B69" s="2">
        <v>2658</v>
      </c>
      <c r="C69" s="3">
        <v>23</v>
      </c>
      <c r="D69" s="3" t="s">
        <v>27</v>
      </c>
      <c r="E69" s="6">
        <v>44091</v>
      </c>
      <c r="F69" s="6">
        <v>45044</v>
      </c>
      <c r="G69" s="3">
        <f ca="1" t="shared" ref="G69:G78" si="8">G69*I69</f>
        <v>0</v>
      </c>
      <c r="H69" s="3">
        <f t="shared" si="4"/>
        <v>0</v>
      </c>
      <c r="I69" s="3">
        <f t="shared" si="7"/>
        <v>0</v>
      </c>
      <c r="J69" s="3">
        <f t="shared" si="6"/>
        <v>0</v>
      </c>
    </row>
    <row r="70" customHeight="1" spans="2:10">
      <c r="B70" s="2">
        <v>2659</v>
      </c>
      <c r="C70" s="3">
        <v>24</v>
      </c>
      <c r="D70" s="3" t="s">
        <v>27</v>
      </c>
      <c r="E70" s="6">
        <v>44091</v>
      </c>
      <c r="F70" s="6">
        <v>45044</v>
      </c>
      <c r="G70" s="3">
        <f ca="1" t="shared" si="8"/>
        <v>0</v>
      </c>
      <c r="H70" s="3">
        <f t="shared" si="4"/>
        <v>0</v>
      </c>
      <c r="I70" s="3">
        <f t="shared" si="7"/>
        <v>0</v>
      </c>
      <c r="J70" s="3">
        <f t="shared" si="6"/>
        <v>0</v>
      </c>
    </row>
    <row r="71" customHeight="1" spans="2:10">
      <c r="B71" s="2">
        <v>2660</v>
      </c>
      <c r="C71" s="3">
        <v>25</v>
      </c>
      <c r="D71" s="3" t="s">
        <v>27</v>
      </c>
      <c r="E71" s="6">
        <v>44091</v>
      </c>
      <c r="F71" s="6">
        <v>45044</v>
      </c>
      <c r="G71" s="3">
        <f ca="1" t="shared" si="8"/>
        <v>0</v>
      </c>
      <c r="H71" s="3">
        <f t="shared" si="4"/>
        <v>0</v>
      </c>
      <c r="I71" s="3">
        <f t="shared" si="7"/>
        <v>0</v>
      </c>
      <c r="J71" s="3">
        <f t="shared" si="6"/>
        <v>0</v>
      </c>
    </row>
    <row r="72" customHeight="1" spans="2:10">
      <c r="B72" s="2">
        <v>2662</v>
      </c>
      <c r="C72" s="3">
        <v>26</v>
      </c>
      <c r="D72" s="3" t="s">
        <v>27</v>
      </c>
      <c r="E72" s="6">
        <v>44091</v>
      </c>
      <c r="F72" s="6">
        <v>45044</v>
      </c>
      <c r="G72" s="3">
        <f ca="1" t="shared" si="8"/>
        <v>0</v>
      </c>
      <c r="H72" s="3">
        <f t="shared" si="4"/>
        <v>0</v>
      </c>
      <c r="I72" s="3">
        <f t="shared" si="7"/>
        <v>0</v>
      </c>
      <c r="J72" s="3">
        <f t="shared" si="6"/>
        <v>0</v>
      </c>
    </row>
    <row r="73" customHeight="1" spans="2:10">
      <c r="B73" s="2">
        <v>2663</v>
      </c>
      <c r="C73" s="3">
        <v>27</v>
      </c>
      <c r="D73" s="3" t="s">
        <v>27</v>
      </c>
      <c r="E73" s="6">
        <v>44091</v>
      </c>
      <c r="F73" s="6">
        <v>1</v>
      </c>
      <c r="G73" s="3">
        <f ca="1" t="shared" si="8"/>
        <v>0</v>
      </c>
      <c r="H73" s="3">
        <f t="shared" si="4"/>
        <v>0</v>
      </c>
      <c r="I73" s="3">
        <f t="shared" si="7"/>
        <v>0</v>
      </c>
      <c r="J73" s="3">
        <f t="shared" si="6"/>
        <v>0</v>
      </c>
    </row>
    <row r="74" customHeight="1" spans="2:10">
      <c r="B74" s="2">
        <v>2664</v>
      </c>
      <c r="C74" s="3">
        <v>28</v>
      </c>
      <c r="D74" s="3" t="s">
        <v>27</v>
      </c>
      <c r="E74" s="6">
        <v>44091</v>
      </c>
      <c r="F74" s="6">
        <v>45044</v>
      </c>
      <c r="G74" s="3">
        <f ca="1" t="shared" si="8"/>
        <v>0</v>
      </c>
      <c r="H74" s="3">
        <f t="shared" si="4"/>
        <v>0</v>
      </c>
      <c r="I74" s="3">
        <f t="shared" si="7"/>
        <v>0</v>
      </c>
      <c r="J74" s="3">
        <f t="shared" si="6"/>
        <v>0</v>
      </c>
    </row>
    <row r="75" customHeight="1" spans="2:10">
      <c r="B75" s="2">
        <v>2667</v>
      </c>
      <c r="C75" s="3">
        <v>29</v>
      </c>
      <c r="D75" s="3" t="s">
        <v>27</v>
      </c>
      <c r="E75" s="6">
        <v>44091</v>
      </c>
      <c r="F75" s="6">
        <v>1</v>
      </c>
      <c r="G75" s="3">
        <f ca="1" t="shared" si="8"/>
        <v>0</v>
      </c>
      <c r="H75" s="3">
        <f t="shared" si="4"/>
        <v>0</v>
      </c>
      <c r="I75" s="3">
        <f t="shared" si="7"/>
        <v>0</v>
      </c>
      <c r="J75" s="3">
        <f t="shared" si="6"/>
        <v>0</v>
      </c>
    </row>
    <row r="76" customHeight="1" spans="2:10">
      <c r="B76" s="2">
        <v>2668</v>
      </c>
      <c r="C76" s="3">
        <v>30</v>
      </c>
      <c r="D76" s="3" t="s">
        <v>27</v>
      </c>
      <c r="E76" s="6">
        <v>44091</v>
      </c>
      <c r="F76" s="6">
        <v>1</v>
      </c>
      <c r="G76" s="3">
        <f ca="1" t="shared" si="8"/>
        <v>0</v>
      </c>
      <c r="H76" s="3">
        <f t="shared" si="4"/>
        <v>0</v>
      </c>
      <c r="I76" s="3">
        <f t="shared" si="7"/>
        <v>0</v>
      </c>
      <c r="J76" s="3">
        <f t="shared" si="6"/>
        <v>0</v>
      </c>
    </row>
    <row r="77" customHeight="1" spans="2:10">
      <c r="B77" s="2">
        <v>2669</v>
      </c>
      <c r="C77" s="3">
        <v>31</v>
      </c>
      <c r="D77" s="3" t="s">
        <v>27</v>
      </c>
      <c r="E77" s="6">
        <v>44091</v>
      </c>
      <c r="F77" s="6">
        <v>44810</v>
      </c>
      <c r="G77" s="3">
        <f ca="1" t="shared" si="8"/>
        <v>0</v>
      </c>
      <c r="H77" s="3">
        <f t="shared" si="4"/>
        <v>0</v>
      </c>
      <c r="I77" s="3">
        <f t="shared" si="7"/>
        <v>0</v>
      </c>
      <c r="J77" s="3">
        <f t="shared" si="6"/>
        <v>0</v>
      </c>
    </row>
    <row r="78" customHeight="1" spans="2:10">
      <c r="B78" s="2">
        <v>2673</v>
      </c>
      <c r="C78" s="3">
        <v>32</v>
      </c>
      <c r="D78" s="3" t="s">
        <v>27</v>
      </c>
      <c r="E78" s="6">
        <v>44091</v>
      </c>
      <c r="F78" s="6">
        <v>45044</v>
      </c>
      <c r="G78" s="3">
        <f ca="1" t="shared" si="8"/>
        <v>0</v>
      </c>
      <c r="H78" s="3">
        <f t="shared" si="4"/>
        <v>0</v>
      </c>
      <c r="I78" s="3">
        <f t="shared" si="7"/>
        <v>0</v>
      </c>
      <c r="J78" s="3">
        <f t="shared" si="6"/>
        <v>0</v>
      </c>
    </row>
    <row r="79" customHeight="1" spans="5:6">
      <c r="E79" s="6"/>
      <c r="F79" s="6"/>
    </row>
    <row r="80" customHeight="1" spans="5:6">
      <c r="E80" s="6"/>
      <c r="F80" s="6"/>
    </row>
    <row r="81" customHeight="1" spans="5:6">
      <c r="E81" s="6"/>
      <c r="F81" s="6"/>
    </row>
    <row r="82" customHeight="1" spans="5:6">
      <c r="E82" s="6"/>
      <c r="F82" s="6"/>
    </row>
    <row r="83" customHeight="1" spans="5:6">
      <c r="E83" s="6"/>
      <c r="F83" s="6"/>
    </row>
    <row r="84" customHeight="1" spans="5:6">
      <c r="E84" s="6"/>
      <c r="F84" s="6"/>
    </row>
    <row r="85" customHeight="1" spans="5:6">
      <c r="E85" s="6"/>
      <c r="F85" s="6"/>
    </row>
    <row r="86" customHeight="1" spans="5:6">
      <c r="E86" s="6"/>
      <c r="F86" s="6"/>
    </row>
    <row r="87" customHeight="1" spans="5:6">
      <c r="E87" s="6"/>
      <c r="F87" s="6"/>
    </row>
    <row r="88" customHeight="1" spans="5:6">
      <c r="E88" s="6"/>
      <c r="F88" s="6"/>
    </row>
    <row r="89" customHeight="1" spans="5:6">
      <c r="E89" s="6"/>
      <c r="F89" s="6"/>
    </row>
    <row r="90" customHeight="1" spans="5:6">
      <c r="E90" s="6"/>
      <c r="F90" s="6"/>
    </row>
    <row r="91" customHeight="1" spans="5:6">
      <c r="E91" s="6"/>
      <c r="F91" s="6"/>
    </row>
    <row r="92" customHeight="1" spans="5:6">
      <c r="E92" s="6"/>
      <c r="F92" s="6"/>
    </row>
    <row r="93" customHeight="1" spans="5:6">
      <c r="E93" s="6"/>
      <c r="F93" s="6"/>
    </row>
    <row r="94" customHeight="1" spans="5:6">
      <c r="E94" s="6"/>
      <c r="F94" s="6"/>
    </row>
    <row r="95" customHeight="1" spans="5:6">
      <c r="E95" s="6"/>
      <c r="F95" s="6"/>
    </row>
    <row r="96" customHeight="1" spans="5:6">
      <c r="E96" s="6"/>
      <c r="F96" s="6"/>
    </row>
    <row r="97" customHeight="1" spans="5:6">
      <c r="E97" s="6"/>
      <c r="F97" s="6"/>
    </row>
  </sheetData>
  <conditionalFormatting sqref="N5:N1048576">
    <cfRule type="expression" dxfId="0" priority="93">
      <formula>MOD(ROW(),2)=0</formula>
    </cfRule>
  </conditionalFormatting>
  <conditionalFormatting sqref="O5:O1048576">
    <cfRule type="expression" dxfId="0" priority="92">
      <formula>MOD(ROW(),2)=0</formula>
    </cfRule>
  </conditionalFormatting>
  <conditionalFormatting sqref="P5:P1048576">
    <cfRule type="expression" dxfId="0" priority="91">
      <formula>MOD(ROW(),2)=0</formula>
    </cfRule>
  </conditionalFormatting>
  <conditionalFormatting sqref="Q5:Q1048576">
    <cfRule type="expression" dxfId="0" priority="90">
      <formula>MOD(ROW(),2)=0</formula>
    </cfRule>
  </conditionalFormatting>
  <conditionalFormatting sqref="R5:R1048576">
    <cfRule type="expression" dxfId="0" priority="89">
      <formula>MOD(ROW(),2)=0</formula>
    </cfRule>
  </conditionalFormatting>
  <conditionalFormatting sqref="S5:S1048576">
    <cfRule type="expression" dxfId="0" priority="88">
      <formula>MOD(ROW(),2)=0</formula>
    </cfRule>
  </conditionalFormatting>
  <conditionalFormatting sqref="T5:T1048576">
    <cfRule type="expression" dxfId="0" priority="87">
      <formula>MOD(ROW(),2)=0</formula>
    </cfRule>
  </conditionalFormatting>
  <conditionalFormatting sqref="U5:U1048576">
    <cfRule type="expression" dxfId="0" priority="86">
      <formula>MOD(ROW(),2)=0</formula>
    </cfRule>
  </conditionalFormatting>
  <conditionalFormatting sqref="V5:V1048576">
    <cfRule type="expression" dxfId="0" priority="85">
      <formula>MOD(ROW(),2)=0</formula>
    </cfRule>
  </conditionalFormatting>
  <conditionalFormatting sqref="W5:W1048576">
    <cfRule type="expression" dxfId="0" priority="84">
      <formula>MOD(ROW(),2)=0</formula>
    </cfRule>
  </conditionalFormatting>
  <conditionalFormatting sqref="X5:X1048576">
    <cfRule type="expression" dxfId="0" priority="83">
      <formula>MOD(ROW(),2)=0</formula>
    </cfRule>
  </conditionalFormatting>
  <conditionalFormatting sqref="Y5:Y1048576">
    <cfRule type="expression" dxfId="0" priority="82">
      <formula>MOD(ROW(),2)=0</formula>
    </cfRule>
  </conditionalFormatting>
  <conditionalFormatting sqref="Z5:Z1048576">
    <cfRule type="expression" dxfId="0" priority="81">
      <formula>MOD(ROW(),2)=0</formula>
    </cfRule>
  </conditionalFormatting>
  <conditionalFormatting sqref="AA5:AA1048576">
    <cfRule type="expression" dxfId="0" priority="80">
      <formula>MOD(ROW(),2)=0</formula>
    </cfRule>
  </conditionalFormatting>
  <conditionalFormatting sqref="AB5:AB1048576">
    <cfRule type="expression" dxfId="0" priority="79">
      <formula>MOD(ROW(),2)=0</formula>
    </cfRule>
  </conditionalFormatting>
  <conditionalFormatting sqref="AC5:AC1048576">
    <cfRule type="expression" dxfId="0" priority="78">
      <formula>MOD(ROW(),2)=0</formula>
    </cfRule>
  </conditionalFormatting>
  <conditionalFormatting sqref="AD5:AD1048576">
    <cfRule type="expression" dxfId="0" priority="77">
      <formula>MOD(ROW(),2)=0</formula>
    </cfRule>
  </conditionalFormatting>
  <conditionalFormatting sqref="AE5:AE1048576">
    <cfRule type="expression" dxfId="0" priority="76">
      <formula>MOD(ROW(),2)=0</formula>
    </cfRule>
  </conditionalFormatting>
  <conditionalFormatting sqref="AF5:AF1048576">
    <cfRule type="expression" dxfId="0" priority="75">
      <formula>MOD(ROW(),2)=0</formula>
    </cfRule>
  </conditionalFormatting>
  <conditionalFormatting sqref="AG5:AG1048576">
    <cfRule type="expression" dxfId="0" priority="74">
      <formula>MOD(ROW(),2)=0</formula>
    </cfRule>
  </conditionalFormatting>
  <conditionalFormatting sqref="AH5:AH1048576">
    <cfRule type="expression" dxfId="0" priority="73">
      <formula>MOD(ROW(),2)=0</formula>
    </cfRule>
  </conditionalFormatting>
  <conditionalFormatting sqref="AI5:AI1048576">
    <cfRule type="expression" dxfId="0" priority="72">
      <formula>MOD(ROW(),2)=0</formula>
    </cfRule>
  </conditionalFormatting>
  <conditionalFormatting sqref="AJ5:AJ1048576">
    <cfRule type="expression" dxfId="0" priority="71">
      <formula>MOD(ROW(),2)=0</formula>
    </cfRule>
  </conditionalFormatting>
  <conditionalFormatting sqref="AK5:AK1048576">
    <cfRule type="expression" dxfId="0" priority="70">
      <formula>MOD(ROW(),2)=0</formula>
    </cfRule>
  </conditionalFormatting>
  <conditionalFormatting sqref="AL5:AL1048576">
    <cfRule type="expression" dxfId="0" priority="69">
      <formula>MOD(ROW(),2)=0</formula>
    </cfRule>
  </conditionalFormatting>
  <conditionalFormatting sqref="AM5:AM1048576">
    <cfRule type="expression" dxfId="0" priority="68">
      <formula>MOD(ROW(),2)=0</formula>
    </cfRule>
  </conditionalFormatting>
  <conditionalFormatting sqref="AN5:AN1048576">
    <cfRule type="expression" dxfId="0" priority="67">
      <formula>MOD(ROW(),2)=0</formula>
    </cfRule>
  </conditionalFormatting>
  <conditionalFormatting sqref="AO5:AO1048576">
    <cfRule type="expression" dxfId="0" priority="66">
      <formula>MOD(ROW(),2)=0</formula>
    </cfRule>
  </conditionalFormatting>
  <conditionalFormatting sqref="AP5:AP1048576">
    <cfRule type="expression" dxfId="0" priority="65">
      <formula>MOD(ROW(),2)=0</formula>
    </cfRule>
  </conditionalFormatting>
  <conditionalFormatting sqref="AQ5:AQ1048576">
    <cfRule type="expression" dxfId="0" priority="64">
      <formula>MOD(ROW(),2)=0</formula>
    </cfRule>
  </conditionalFormatting>
  <conditionalFormatting sqref="AR5:AR1048576">
    <cfRule type="expression" dxfId="0" priority="63">
      <formula>MOD(ROW(),2)=0</formula>
    </cfRule>
  </conditionalFormatting>
  <conditionalFormatting sqref="AS5:AS1048576">
    <cfRule type="expression" dxfId="0" priority="62">
      <formula>MOD(ROW(),2)=0</formula>
    </cfRule>
  </conditionalFormatting>
  <conditionalFormatting sqref="AT5:AT1048576">
    <cfRule type="expression" dxfId="0" priority="61">
      <formula>MOD(ROW(),2)=0</formula>
    </cfRule>
  </conditionalFormatting>
  <conditionalFormatting sqref="AU5:AU1048576">
    <cfRule type="expression" dxfId="0" priority="60">
      <formula>MOD(ROW(),2)=0</formula>
    </cfRule>
  </conditionalFormatting>
  <conditionalFormatting sqref="AV5:AV1048576">
    <cfRule type="expression" dxfId="0" priority="59">
      <formula>MOD(ROW(),2)=0</formula>
    </cfRule>
  </conditionalFormatting>
  <conditionalFormatting sqref="AW5:AW1048576">
    <cfRule type="expression" dxfId="0" priority="58">
      <formula>MOD(ROW(),2)=0</formula>
    </cfRule>
  </conditionalFormatting>
  <conditionalFormatting sqref="AX5:AX1048576">
    <cfRule type="expression" dxfId="0" priority="57">
      <formula>MOD(ROW(),2)=0</formula>
    </cfRule>
  </conditionalFormatting>
  <conditionalFormatting sqref="AY5:AY1048576">
    <cfRule type="expression" dxfId="0" priority="56">
      <formula>MOD(ROW(),2)=0</formula>
    </cfRule>
  </conditionalFormatting>
  <conditionalFormatting sqref="AZ5:AZ1048576">
    <cfRule type="expression" dxfId="0" priority="55">
      <formula>MOD(ROW(),2)=0</formula>
    </cfRule>
  </conditionalFormatting>
  <conditionalFormatting sqref="BA5:BA1048576">
    <cfRule type="expression" dxfId="0" priority="54">
      <formula>MOD(ROW(),2)=0</formula>
    </cfRule>
  </conditionalFormatting>
  <conditionalFormatting sqref="BB5:BB1048576">
    <cfRule type="expression" dxfId="0" priority="53">
      <formula>MOD(ROW(),2)=0</formula>
    </cfRule>
  </conditionalFormatting>
  <conditionalFormatting sqref="BC5:BC1048576">
    <cfRule type="expression" dxfId="0" priority="52">
      <formula>MOD(ROW(),2)=0</formula>
    </cfRule>
  </conditionalFormatting>
  <conditionalFormatting sqref="BD5:BD1048576">
    <cfRule type="expression" dxfId="0" priority="51">
      <formula>MOD(ROW(),2)=0</formula>
    </cfRule>
  </conditionalFormatting>
  <conditionalFormatting sqref="BE5:BE1048576">
    <cfRule type="expression" dxfId="0" priority="50">
      <formula>MOD(ROW(),2)=0</formula>
    </cfRule>
  </conditionalFormatting>
  <conditionalFormatting sqref="BF5:BF1048576">
    <cfRule type="expression" dxfId="0" priority="49">
      <formula>MOD(ROW(),2)=0</formula>
    </cfRule>
  </conditionalFormatting>
  <conditionalFormatting sqref="BG5:BG1048576">
    <cfRule type="expression" dxfId="0" priority="48">
      <formula>MOD(ROW(),2)=0</formula>
    </cfRule>
  </conditionalFormatting>
  <conditionalFormatting sqref="BH5:BH1048576">
    <cfRule type="expression" dxfId="0" priority="47">
      <formula>MOD(ROW(),2)=0</formula>
    </cfRule>
  </conditionalFormatting>
  <conditionalFormatting sqref="BI5:BI1048576">
    <cfRule type="expression" dxfId="0" priority="46">
      <formula>MOD(ROW(),2)=0</formula>
    </cfRule>
  </conditionalFormatting>
  <conditionalFormatting sqref="BJ5:BJ1048576">
    <cfRule type="expression" dxfId="0" priority="45">
      <formula>MOD(ROW(),2)=0</formula>
    </cfRule>
  </conditionalFormatting>
  <conditionalFormatting sqref="BK5:BK1048576">
    <cfRule type="expression" dxfId="0" priority="44">
      <formula>MOD(ROW(),2)=0</formula>
    </cfRule>
  </conditionalFormatting>
  <conditionalFormatting sqref="BL5:BL1048576">
    <cfRule type="expression" dxfId="0" priority="43">
      <formula>MOD(ROW(),2)=0</formula>
    </cfRule>
  </conditionalFormatting>
  <conditionalFormatting sqref="BM5:BM1048576">
    <cfRule type="expression" dxfId="0" priority="42">
      <formula>MOD(ROW(),2)=0</formula>
    </cfRule>
  </conditionalFormatting>
  <conditionalFormatting sqref="BN5:BN1048576">
    <cfRule type="expression" dxfId="0" priority="41">
      <formula>MOD(ROW(),2)=0</formula>
    </cfRule>
  </conditionalFormatting>
  <conditionalFormatting sqref="BO5:BO1048576">
    <cfRule type="expression" dxfId="0" priority="40">
      <formula>MOD(ROW(),2)=0</formula>
    </cfRule>
  </conditionalFormatting>
  <conditionalFormatting sqref="BP5:BP1048576">
    <cfRule type="expression" dxfId="0" priority="39">
      <formula>MOD(ROW(),2)=0</formula>
    </cfRule>
  </conditionalFormatting>
  <conditionalFormatting sqref="BQ5:BQ1048576">
    <cfRule type="expression" dxfId="0" priority="38">
      <formula>MOD(ROW(),2)=0</formula>
    </cfRule>
  </conditionalFormatting>
  <conditionalFormatting sqref="BR5:BR1048576">
    <cfRule type="expression" dxfId="0" priority="37">
      <formula>MOD(ROW(),2)=0</formula>
    </cfRule>
  </conditionalFormatting>
  <conditionalFormatting sqref="BS5:BS1048576">
    <cfRule type="expression" dxfId="0" priority="36">
      <formula>MOD(ROW(),2)=0</formula>
    </cfRule>
  </conditionalFormatting>
  <conditionalFormatting sqref="BT5:BT1048576">
    <cfRule type="expression" dxfId="0" priority="35">
      <formula>MOD(ROW(),2)=0</formula>
    </cfRule>
  </conditionalFormatting>
  <conditionalFormatting sqref="BU5:BU1048576">
    <cfRule type="expression" dxfId="0" priority="34">
      <formula>MOD(ROW(),2)=0</formula>
    </cfRule>
  </conditionalFormatting>
  <conditionalFormatting sqref="BV5:BV1048576">
    <cfRule type="expression" dxfId="0" priority="33">
      <formula>MOD(ROW(),2)=0</formula>
    </cfRule>
  </conditionalFormatting>
  <conditionalFormatting sqref="BW5:BW1048576">
    <cfRule type="expression" dxfId="0" priority="32">
      <formula>MOD(ROW(),2)=0</formula>
    </cfRule>
  </conditionalFormatting>
  <conditionalFormatting sqref="BX5:BX1048576">
    <cfRule type="expression" dxfId="0" priority="31">
      <formula>MOD(ROW(),2)=0</formula>
    </cfRule>
  </conditionalFormatting>
  <conditionalFormatting sqref="BY5:BY1048576">
    <cfRule type="expression" dxfId="0" priority="30">
      <formula>MOD(ROW(),2)=0</formula>
    </cfRule>
  </conditionalFormatting>
  <conditionalFormatting sqref="BZ5:BZ1048576">
    <cfRule type="expression" dxfId="0" priority="29">
      <formula>MOD(ROW(),2)=0</formula>
    </cfRule>
  </conditionalFormatting>
  <conditionalFormatting sqref="CA5:CA1048576">
    <cfRule type="expression" dxfId="0" priority="28">
      <formula>MOD(ROW(),2)=0</formula>
    </cfRule>
  </conditionalFormatting>
  <conditionalFormatting sqref="CB5:CB1048576">
    <cfRule type="expression" dxfId="0" priority="27">
      <formula>MOD(ROW(),2)=0</formula>
    </cfRule>
  </conditionalFormatting>
  <conditionalFormatting sqref="CC5:CC1048576">
    <cfRule type="expression" dxfId="0" priority="26">
      <formula>MOD(ROW(),2)=0</formula>
    </cfRule>
  </conditionalFormatting>
  <conditionalFormatting sqref="CD5:CD1048576">
    <cfRule type="expression" dxfId="0" priority="25">
      <formula>MOD(ROW(),2)=0</formula>
    </cfRule>
  </conditionalFormatting>
  <conditionalFormatting sqref="CE5:CE1048576">
    <cfRule type="expression" dxfId="0" priority="24">
      <formula>MOD(ROW(),2)=0</formula>
    </cfRule>
  </conditionalFormatting>
  <conditionalFormatting sqref="CF5:CF1048576">
    <cfRule type="expression" dxfId="0" priority="23">
      <formula>MOD(ROW(),2)=0</formula>
    </cfRule>
  </conditionalFormatting>
  <conditionalFormatting sqref="CG5:CG1048576">
    <cfRule type="expression" dxfId="0" priority="22">
      <formula>MOD(ROW(),2)=0</formula>
    </cfRule>
  </conditionalFormatting>
  <conditionalFormatting sqref="CH5:CH1048576">
    <cfRule type="expression" dxfId="0" priority="21">
      <formula>MOD(ROW(),2)=0</formula>
    </cfRule>
  </conditionalFormatting>
  <conditionalFormatting sqref="CI5:CI1048576">
    <cfRule type="expression" dxfId="0" priority="20">
      <formula>MOD(ROW(),2)=0</formula>
    </cfRule>
  </conditionalFormatting>
  <conditionalFormatting sqref="CJ5:CJ1048576">
    <cfRule type="expression" dxfId="0" priority="19">
      <formula>MOD(ROW(),2)=0</formula>
    </cfRule>
  </conditionalFormatting>
  <conditionalFormatting sqref="CK5:CK1048576">
    <cfRule type="expression" dxfId="0" priority="18">
      <formula>MOD(ROW(),2)=0</formula>
    </cfRule>
  </conditionalFormatting>
  <conditionalFormatting sqref="CL5:CL1048576">
    <cfRule type="expression" dxfId="0" priority="17">
      <formula>MOD(ROW(),2)=0</formula>
    </cfRule>
  </conditionalFormatting>
  <conditionalFormatting sqref="CM5:CM1048576">
    <cfRule type="expression" dxfId="0" priority="16">
      <formula>MOD(ROW(),2)=0</formula>
    </cfRule>
  </conditionalFormatting>
  <conditionalFormatting sqref="CN5:CN1048576">
    <cfRule type="expression" dxfId="0" priority="15">
      <formula>MOD(ROW(),2)=0</formula>
    </cfRule>
  </conditionalFormatting>
  <conditionalFormatting sqref="CO5:CO1048576">
    <cfRule type="expression" dxfId="0" priority="14">
      <formula>MOD(ROW(),2)=0</formula>
    </cfRule>
  </conditionalFormatting>
  <conditionalFormatting sqref="CP5:CP1048576">
    <cfRule type="expression" dxfId="0" priority="13">
      <formula>MOD(ROW(),2)=0</formula>
    </cfRule>
  </conditionalFormatting>
  <conditionalFormatting sqref="CQ5:CQ1048576">
    <cfRule type="expression" dxfId="0" priority="12">
      <formula>MOD(ROW(),2)=0</formula>
    </cfRule>
  </conditionalFormatting>
  <conditionalFormatting sqref="CR5:CR1048576">
    <cfRule type="expression" dxfId="0" priority="11">
      <formula>MOD(ROW(),2)=0</formula>
    </cfRule>
  </conditionalFormatting>
  <conditionalFormatting sqref="CS5:CS1048576">
    <cfRule type="expression" dxfId="0" priority="10">
      <formula>MOD(ROW(),2)=0</formula>
    </cfRule>
  </conditionalFormatting>
  <conditionalFormatting sqref="CT5:CT1048576">
    <cfRule type="expression" dxfId="0" priority="9">
      <formula>MOD(ROW(),2)=0</formula>
    </cfRule>
  </conditionalFormatting>
  <conditionalFormatting sqref="CU5:CU1048576">
    <cfRule type="expression" dxfId="0" priority="8">
      <formula>MOD(ROW(),2)=0</formula>
    </cfRule>
  </conditionalFormatting>
  <conditionalFormatting sqref="CV5:CV1048576">
    <cfRule type="expression" dxfId="0" priority="7">
      <formula>MOD(ROW(),2)=0</formula>
    </cfRule>
  </conditionalFormatting>
  <conditionalFormatting sqref="CW5:CW1048576">
    <cfRule type="expression" dxfId="0" priority="6">
      <formula>MOD(ROW(),2)=0</formula>
    </cfRule>
  </conditionalFormatting>
  <conditionalFormatting sqref="CX5:CX1048576">
    <cfRule type="expression" dxfId="0" priority="5">
      <formula>MOD(ROW(),2)=0</formula>
    </cfRule>
  </conditionalFormatting>
  <conditionalFormatting sqref="CY5:CY1048576">
    <cfRule type="expression" dxfId="0" priority="4">
      <formula>MOD(ROW(),2)=0</formula>
    </cfRule>
  </conditionalFormatting>
  <conditionalFormatting sqref="CZ5:CZ1048576">
    <cfRule type="expression" dxfId="0" priority="3">
      <formula>MOD(ROW(),2)=0</formula>
    </cfRule>
  </conditionalFormatting>
  <conditionalFormatting sqref="DA5:DA1048576">
    <cfRule type="expression" dxfId="0" priority="2">
      <formula>MOD(ROW(),2)=0</formula>
    </cfRule>
  </conditionalFormatting>
  <conditionalFormatting sqref="DB5:DB1048576">
    <cfRule type="expression" dxfId="0" priority="1">
      <formula>MOD(ROW(),2)=0</formula>
    </cfRule>
  </conditionalFormatting>
  <conditionalFormatting sqref="C5:M1048576">
    <cfRule type="expression" dxfId="0" priority="94">
      <formula>MOD(ROW(),2)=0</formula>
    </cfRule>
  </conditionalFormatting>
  <dataValidations count="1">
    <dataValidation allowBlank="1" showInputMessage="1" showErrorMessage="1" sqref="G5:DB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首页</vt:lpstr>
      <vt:lpstr>说明书</vt:lpstr>
      <vt:lpstr>Sheet3</vt:lpstr>
      <vt:lpstr>人员管理</vt:lpstr>
      <vt:lpstr>人员权限设置</vt:lpstr>
      <vt:lpstr>部门权限设置</vt:lpstr>
      <vt:lpstr>工作台使用状态</vt:lpstr>
      <vt:lpstr>工作台权限设置</vt:lpstr>
      <vt:lpstr>公司数据分析</vt:lpstr>
      <vt:lpstr>人员数据分析</vt:lpstr>
      <vt:lpstr>工作台公式设置</vt:lpstr>
      <vt:lpstr>工作台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2023-09-11T07:16:48Z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